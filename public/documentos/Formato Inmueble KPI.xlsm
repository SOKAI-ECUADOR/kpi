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xampp\htdocs\kpi\public\documentos\"/>
    </mc:Choice>
  </mc:AlternateContent>
  <xr:revisionPtr revIDLastSave="0" documentId="13_ncr:1_{C972BDBE-8DD8-47CF-A3D8-2F17E8ABB7AA}" xr6:coauthVersionLast="47" xr6:coauthVersionMax="47" xr10:uidLastSave="{00000000-0000-0000-0000-000000000000}"/>
  <bookViews>
    <workbookView xWindow="-120" yWindow="-120" windowWidth="21840" windowHeight="13140" xr2:uid="{00000000-000D-0000-FFFF-FFFF00000000}"/>
  </bookViews>
  <sheets>
    <sheet name="Formulario Inmueble" sheetId="1" r:id="rId1"/>
  </sheet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141" i="1" l="1"/>
  <c r="D140" i="1"/>
  <c r="D139" i="1"/>
  <c r="D138" i="1"/>
  <c r="K134" i="1"/>
  <c r="K127" i="1"/>
  <c r="C119" i="1"/>
  <c r="I82" i="1"/>
  <c r="K82" i="1" s="1"/>
  <c r="I83" i="1"/>
  <c r="K83" i="1" s="1"/>
  <c r="I84" i="1"/>
  <c r="K84" i="1" s="1"/>
  <c r="I85" i="1"/>
  <c r="K85" i="1" s="1"/>
  <c r="I86" i="1"/>
  <c r="K86" i="1" s="1"/>
  <c r="I87" i="1"/>
  <c r="K87" i="1" s="1"/>
  <c r="I88" i="1"/>
  <c r="K88" i="1" s="1"/>
  <c r="I89" i="1"/>
  <c r="K89" i="1" s="1"/>
  <c r="I90" i="1"/>
  <c r="K90" i="1" s="1"/>
  <c r="I91" i="1"/>
  <c r="K91" i="1" s="1"/>
  <c r="I92" i="1"/>
  <c r="K92" i="1" s="1"/>
  <c r="I93" i="1"/>
  <c r="K93" i="1" s="1"/>
  <c r="I94" i="1"/>
  <c r="K94" i="1" s="1"/>
  <c r="I95" i="1"/>
  <c r="K95" i="1" s="1"/>
  <c r="I96" i="1"/>
  <c r="K96" i="1" s="1"/>
  <c r="I97" i="1"/>
  <c r="K97" i="1" s="1"/>
  <c r="I98" i="1"/>
  <c r="K98" i="1" s="1"/>
  <c r="I99" i="1"/>
  <c r="K99" i="1" s="1"/>
  <c r="I100" i="1"/>
  <c r="K100" i="1" s="1"/>
  <c r="I101" i="1"/>
  <c r="K101" i="1" s="1"/>
  <c r="I102" i="1"/>
  <c r="K102" i="1" s="1"/>
  <c r="I103" i="1"/>
  <c r="K103" i="1" s="1"/>
  <c r="I104" i="1"/>
  <c r="K104" i="1" s="1"/>
  <c r="I105" i="1"/>
  <c r="K105" i="1" s="1"/>
  <c r="I106" i="1"/>
  <c r="K106" i="1" s="1"/>
  <c r="I107" i="1"/>
  <c r="K107" i="1" s="1"/>
  <c r="I108" i="1"/>
  <c r="K108" i="1" s="1"/>
  <c r="I109" i="1"/>
  <c r="K109" i="1" s="1"/>
  <c r="I110" i="1"/>
  <c r="K110" i="1" s="1"/>
  <c r="I111" i="1"/>
  <c r="K111" i="1" s="1"/>
  <c r="I112" i="1"/>
  <c r="K112" i="1" s="1"/>
  <c r="I113" i="1"/>
  <c r="K113" i="1" s="1"/>
  <c r="I114" i="1"/>
  <c r="K114" i="1" s="1"/>
  <c r="I115" i="1"/>
  <c r="K115" i="1" s="1"/>
  <c r="I116" i="1"/>
  <c r="K116" i="1" s="1"/>
  <c r="I117" i="1"/>
  <c r="K117" i="1" s="1"/>
  <c r="I81" i="1"/>
  <c r="K81" i="1" s="1"/>
  <c r="K119" i="1" l="1"/>
  <c r="K121" i="1" s="1"/>
  <c r="K140" i="1" l="1"/>
  <c r="K141" i="1" l="1"/>
  <c r="K139" i="1"/>
  <c r="A143" i="1" s="1"/>
</calcChain>
</file>

<file path=xl/sharedStrings.xml><?xml version="1.0" encoding="utf-8"?>
<sst xmlns="http://schemas.openxmlformats.org/spreadsheetml/2006/main" count="213" uniqueCount="189">
  <si>
    <t>Provincia:</t>
  </si>
  <si>
    <t>Cantón:</t>
  </si>
  <si>
    <t>Ciudad:</t>
  </si>
  <si>
    <t>Parroquia:</t>
  </si>
  <si>
    <t>DESCRIPCIÓN</t>
  </si>
  <si>
    <t>TOTAL</t>
  </si>
  <si>
    <t>Ubicación:</t>
  </si>
  <si>
    <t>Clave Catastral:</t>
  </si>
  <si>
    <t>Fecha de Inspección:</t>
  </si>
  <si>
    <t>Fecha de Informe:</t>
  </si>
  <si>
    <t>1. DATOS GENERALES</t>
  </si>
  <si>
    <t>Como parte de la auditoría que se realiza en la Universidad Nacional de Milagro, se realiza la valoración de todos y cada uno de los Bloques constructivos que conforman la mencionada Universidad, así se procede a inspección general de todos y cada uno de los Bloques, para continuar con una inspección más pormenorizada que permita constatar las condiciones de funcionamiento, y sobre todo del nivel de mantenimiento, requeridos para realizar la valoración, se valorará en una secuencia de acuerdo con la nomenclatura de los mismos, empezaremos por el BLOQUE "A", procediéndose en una secuencia alfabética con todos los bloques que se encuentran dentro del campus universitario.</t>
  </si>
  <si>
    <t>1.1- ANTECEDENTES</t>
  </si>
  <si>
    <t>1.2- DOCUMENTOS PROPORCIONADOS</t>
  </si>
  <si>
    <t>ESCRITURAS</t>
  </si>
  <si>
    <t>PLANOS</t>
  </si>
  <si>
    <t>CERT. REGIST. PROPIEDAD</t>
  </si>
  <si>
    <t>NINGUNO</t>
  </si>
  <si>
    <t>OTROS:</t>
  </si>
  <si>
    <t xml:space="preserve">Geo clave: </t>
  </si>
  <si>
    <t>1.3- DATOS DE ESCRITURA</t>
  </si>
  <si>
    <t>PROPIETARIOS</t>
  </si>
  <si>
    <t>UNIVERSIDAD ESTATAL DE MILAGRO UNEMI</t>
  </si>
  <si>
    <t>Persona Natural</t>
  </si>
  <si>
    <t>Persona Jurídica</t>
  </si>
  <si>
    <t>Tipo de Escritura (s)</t>
  </si>
  <si>
    <t>EXPROPIACIÓN Y DONACIÓN</t>
  </si>
  <si>
    <t>09-10-50-004-012-041-001-000-000-000</t>
  </si>
  <si>
    <t>Fecha de Escritura</t>
  </si>
  <si>
    <t>Notaría Segunda</t>
  </si>
  <si>
    <t>Dr. Harry Aspiazu Jaime</t>
  </si>
  <si>
    <t>Fecha Insc. Reg. Prop.</t>
  </si>
  <si>
    <t xml:space="preserve">Cantón </t>
  </si>
  <si>
    <t>Milagro</t>
  </si>
  <si>
    <t>Gravámenes</t>
  </si>
  <si>
    <t>1.4- TIPO DE INMUEBLE</t>
  </si>
  <si>
    <t>Es una universidad, conformada por bloques constructivos asignados alfabéticamente, con diferentes características constructivas y de utilización, tanto educativas, como administrativas, de alimentación, culturales, recreativas y de mantenimiento, según requerimientos, los bloques están desarrollados en distintos niveles; siendo los más antiguos en dos niveles, los más actuales entre tres y cuatro niveles, desde el nivel de la vía vehicular, hacia arriba cuenta con playas de parqueaderos abiertos, algunos bloques tienen terrazas accesibles. Para recreación y educación cuentan con cancha de futbol, cancha de indorfutbol, pista de atletismo, gimnasio piscina para competencias, además existe un parque lineal vinculado con el corredor cultural y una concha acústica. En general cuenta con vías vehiculares asfaltadas, vías peatonales con distintos tipos de acabados y tratamientos, amplias áreas verdes en las que sea a cuidado el diseño paisajístico, excelente mantenimiento de las mismas, además cuenta con una concha acústica, para presentaciones artísticas.</t>
  </si>
  <si>
    <t xml:space="preserve">2. ASPECTO GENERAL DEL INMUEBLE </t>
  </si>
  <si>
    <t>2.1-  DATOS DEL INMUEBLE</t>
  </si>
  <si>
    <t>Sector:</t>
  </si>
  <si>
    <t>Avenida:</t>
  </si>
  <si>
    <t>GUAYAS</t>
  </si>
  <si>
    <t>MILAGRO</t>
  </si>
  <si>
    <t xml:space="preserve">CRN. ENRIQUE VALDEZ </t>
  </si>
  <si>
    <t>17 de Septiembre (Km. 26 Vía Milagro)</t>
  </si>
  <si>
    <t>LOTIZACIÓN "LOS TRONCOS"</t>
  </si>
  <si>
    <t>3. DATOS DE INSPECCIÓN</t>
  </si>
  <si>
    <t>3.1-  INFRAESTRUCTURA EXISTENTE</t>
  </si>
  <si>
    <t>Especifique</t>
  </si>
  <si>
    <t>PAVIMENTACION</t>
  </si>
  <si>
    <t>ALUMBRADO</t>
  </si>
  <si>
    <t>INTERNET</t>
  </si>
  <si>
    <t xml:space="preserve">RED TELEF. </t>
  </si>
  <si>
    <t>ACERAS</t>
  </si>
  <si>
    <t>ALCANTARILLADO</t>
  </si>
  <si>
    <t>AGUA POTABLE</t>
  </si>
  <si>
    <t>BORDILLOS</t>
  </si>
  <si>
    <t>CALZADA</t>
  </si>
  <si>
    <t>TRAS. PUBLICO</t>
  </si>
  <si>
    <t>4. CLASIFICACION DEL SECTOR, ACCESIBILIDAD Y ENTORNO</t>
  </si>
  <si>
    <r>
      <rPr>
        <b/>
        <sz val="8"/>
        <rFont val="Arial"/>
        <family val="2"/>
      </rPr>
      <t>4.1.-</t>
    </r>
    <r>
      <rPr>
        <sz val="8"/>
        <rFont val="Arial"/>
        <family val="2"/>
      </rPr>
      <t xml:space="preserve"> </t>
    </r>
    <r>
      <rPr>
        <b/>
        <sz val="8"/>
        <rFont val="Arial"/>
        <family val="2"/>
      </rPr>
      <t xml:space="preserve">CLASIFICACION DEL SECTOR Y ENTORNO
</t>
    </r>
  </si>
  <si>
    <t>En los años 2.012, el sector comienza a mejorar y a poblarse el sector, proliferandose zonas habiitacionales, así como los espacios complementarios para una mejor habitabilidad. Es un sector multicoupacional, respecto al uso del suelo, se observa una variada actividad comercial, preponderantemente alimentaria, con la influencia y requerimientos de los usuarios del Campus Universitario.
Como cuidad en proceso de crecimiento, empiezan a surgir centros comerciales, así como también en el radio de influencia de la zona, surgen áreas comerciales, recreacionales educativas y de salud.  Por supuesto encontramos lugares como restaurantes y todo tipo lugares de actividades comerciales, siendo así un sector multiocupacional, predominantemente residencial, la zona comercial se prolifera más hacia la Av. 17 de Septiembre.</t>
  </si>
  <si>
    <t>4.2.- ACCESIBILIDAD</t>
  </si>
  <si>
    <t>En cuanto a la accesibilidad, cuenta con las calles circundantes, la Av. 17 de Septiembre de  forma directa; las calles de forma indirecta, cuenta con transporte público directamente en la Avenida 17 de Septiembre inclusive, transporte interprovincial.
Las vías de acceso están asfaltadas, la vía de ingreso directo. igualmente asfaltada así como las vías vehiculares al interior del Campus Universitario, tiene caminerías con variados tiramientos y acabados constructivos pero cuidando la inclusividad de los usuarios.</t>
  </si>
  <si>
    <r>
      <t>4.3.-</t>
    </r>
    <r>
      <rPr>
        <sz val="8"/>
        <rFont val="Arial"/>
        <family val="2"/>
      </rPr>
      <t xml:space="preserve"> </t>
    </r>
    <r>
      <rPr>
        <b/>
        <sz val="8"/>
        <rFont val="Arial"/>
        <family val="2"/>
      </rPr>
      <t xml:space="preserve"> DOCUMENTACION EMPLEADA Y DE RESPALDO</t>
    </r>
  </si>
  <si>
    <t>* Escritura del inmueble.
* Inspección en la que incluye un barrido fotográfico del inmueble como observación ocular.
* Investigación del  Mercado Inmobiliario en el Internet, así como también de información en el sector.
* Certificado del Registrador de la Propiedad.
* Cédula Catastral.</t>
  </si>
  <si>
    <r>
      <t>4.4.-</t>
    </r>
    <r>
      <rPr>
        <sz val="8"/>
        <rFont val="Arial"/>
        <family val="2"/>
      </rPr>
      <t xml:space="preserve"> </t>
    </r>
    <r>
      <rPr>
        <b/>
        <sz val="8"/>
        <rFont val="Arial"/>
        <family val="2"/>
      </rPr>
      <t>METODOLOGÍA</t>
    </r>
  </si>
  <si>
    <t>Se realiza la valoración, utilizando la metodología comparativa, en lo que respecta al valor del terreno, con información obtenida en el mercado inmobiliario en el Internet y cédula catastral.  
Respecto a la valoración de las construcciones, es de forma puntual, en función de las características de las mismas, observando el tiempo de construcción, el estado de mantenimiento, acabados y funcionalidad.</t>
  </si>
  <si>
    <t>5. CARACTERISTICAS DEL TERRENO</t>
  </si>
  <si>
    <t>Estado del terreno</t>
  </si>
  <si>
    <t>Vacio</t>
  </si>
  <si>
    <t>Construido</t>
  </si>
  <si>
    <t>En Construcción</t>
  </si>
  <si>
    <t>%</t>
  </si>
  <si>
    <t xml:space="preserve">        % </t>
  </si>
  <si>
    <t>Esquinero</t>
  </si>
  <si>
    <t>Medianero</t>
  </si>
  <si>
    <t>Forma</t>
  </si>
  <si>
    <t>Regular</t>
  </si>
  <si>
    <t>Irregular</t>
  </si>
  <si>
    <t>Plana</t>
  </si>
  <si>
    <t>Pendiente</t>
  </si>
  <si>
    <t>X</t>
  </si>
  <si>
    <r>
      <t>5.1.-</t>
    </r>
    <r>
      <rPr>
        <sz val="8"/>
        <rFont val="Arial"/>
        <family val="2"/>
      </rPr>
      <t xml:space="preserve"> </t>
    </r>
    <r>
      <rPr>
        <b/>
        <sz val="8"/>
        <rFont val="Arial"/>
        <family val="2"/>
      </rPr>
      <t>LINDEROS Y DIMENSIONES DEL INMUEBLE OPTENIDOS EN ESCRITURAS GENERALES DEL TERRENO</t>
    </r>
  </si>
  <si>
    <t>NORTE:</t>
  </si>
  <si>
    <t>ESCRITURAS (m)</t>
  </si>
  <si>
    <t>Con terreno propiedad del Sr. Quirino Moreira vera</t>
  </si>
  <si>
    <t>Con terreno propiedad del Sr. Juan E. Vargas Vargas</t>
  </si>
  <si>
    <t>SUR:</t>
  </si>
  <si>
    <t>ESTE:</t>
  </si>
  <si>
    <t>Con lote número 99</t>
  </si>
  <si>
    <t>OESTE:</t>
  </si>
  <si>
    <t>AREA SEGUN ESCRITURAS (m2)</t>
  </si>
  <si>
    <t>MUNICIPIO (m)</t>
  </si>
  <si>
    <t>LOTES PARTICULARES</t>
  </si>
  <si>
    <t>VIA MILAGRO - KM 26</t>
  </si>
  <si>
    <t>AREA TOTAL (m2)</t>
  </si>
  <si>
    <t>5.2.- LINDEROS Y DIMENSIONES DEL INMUEBLE  INFORMACIÓN CATASTRAL Y PREDIAL URBANO</t>
  </si>
  <si>
    <t>LEVANTAMIENTO (m)</t>
  </si>
  <si>
    <t>Este inmueble, es un CAMPUS UNIVERSITARIO, conformado por bloques constructivos de variados número de plantas, así como también de variada temporalidad constructiva: tiene aproximadamente un total de 36 bloques constructivos, playas de parqueaderos, áreas de variados usos según el requerimiento, acceso peatonal, acceso vehicular y amplias zonas verdes, de jardines, así como también caminerías para la circulación peatonal y conexiones con los diferentes bloques constructivos,  con un área amplia de un parque lineal, con un excelente estudio paisajístico, una concha acuática para presentaciones tanto teatrales como de todo tipo de evento cultural, tiene  guardianía.  Se cuidó de aspectos decorativos y de paisajismo. Las circulaciones, así como los accesos son inclusivos para usuarios con capacidades diferentes. Detalles que le dan mayor relevancia.</t>
  </si>
  <si>
    <t>5.4.- OBSERVACIONES</t>
  </si>
  <si>
    <t xml:space="preserve">5.3.- LINDEROS Y DIMENSIONES DEL INMUEBLE  INFORMACIÓN DEL LEVANTAMIENTO PLANIALTIMÉTRICO </t>
  </si>
  <si>
    <t>5.5.- INFORMACION SOBRE VALORES DE TERRENOS EN EL SECTOR  FUENTE INTERNET</t>
  </si>
  <si>
    <t xml:space="preserve">*Terreno de 32.767,00 M2.  a $ 3'600.00,00. Para lotizaciones junto a Universidad Estatal de Milagro, código Anunciante TEV 22846, vende Inmobiliaria Vargas, Carlos Vargas telf. 098998079. Valor  $ 109,87 c/M2.
*Terreno de  11.430,00 M2. a $ 1'140.000,00. Para lotizaciones, terreno nivelado Sector La Lolita, por estación de buses No. 8, vía Milagro Guayas, código anunciante TEV 18158, vende Luis Carriel 0986522269, Vanessa Valor  $ 99,74 c/M2
*Terreno de 48.000,00 M2.  a $ 3´500.000,00.  Cerca del Terminal terrestre en construcción Vende Inmobiliaria Tebirsa.  código Plusvalía 53511643 código Anunciante 261RBD.  Valor  $ 72,92 c/M2.
* Para la presente investigación se han considerado lotes grandes, los mismos que se cotizan a otro tipo de valores precisamente por el tamaño. Se promedian los valores de oferta para obtener un valor que pueda aplicarse en el presente estudio, en este caso el valor es de $ 94,18 por cada M2.  </t>
  </si>
  <si>
    <t xml:space="preserve">Con terrenos de hnos.- Rivera Fariño, Flia. Vinueza:25.00/33.00/38.80/14:00/96.00 y Estero Berlín  </t>
  </si>
  <si>
    <t>6. AVALUO</t>
  </si>
  <si>
    <t>6.1.- AVALUO DE LAS EDIFICACIONES</t>
  </si>
  <si>
    <t>% CONSERVACIÓN</t>
  </si>
  <si>
    <t>CONSTRUC.</t>
  </si>
  <si>
    <t>V. UNITARIO</t>
  </si>
  <si>
    <t xml:space="preserve"> REAL</t>
  </si>
  <si>
    <t>VALOR</t>
  </si>
  <si>
    <t xml:space="preserve">AREA DE  </t>
  </si>
  <si>
    <t>CONSTRUCCIÓN (m2)</t>
  </si>
  <si>
    <t>V/UNITARIO</t>
  </si>
  <si>
    <t>REPOSICION</t>
  </si>
  <si>
    <t xml:space="preserve"> CONSERV.</t>
  </si>
  <si>
    <t>NIVEL</t>
  </si>
  <si>
    <t xml:space="preserve">DESCRIPCIÓN </t>
  </si>
  <si>
    <t>BLOQUE "A"</t>
  </si>
  <si>
    <t>BLOQUE "B"</t>
  </si>
  <si>
    <t>BLOQUE "C"</t>
  </si>
  <si>
    <t>BLOQUE "D"</t>
  </si>
  <si>
    <t>BLOQUE "E"</t>
  </si>
  <si>
    <t>BLOQUE "F"</t>
  </si>
  <si>
    <t>BLOQUE "G"</t>
  </si>
  <si>
    <t>BLOQUE "H"</t>
  </si>
  <si>
    <t>BLOQUE "I"</t>
  </si>
  <si>
    <t>BLOQUE "J"</t>
  </si>
  <si>
    <t>BLOQUE "K"</t>
  </si>
  <si>
    <t>BLOQUE "K 1"</t>
  </si>
  <si>
    <t>Bloque "L"</t>
  </si>
  <si>
    <t>Bloque "M"</t>
  </si>
  <si>
    <t>Bloque "N"</t>
  </si>
  <si>
    <t>BLOQUE "O"</t>
  </si>
  <si>
    <t>BLOQUE "P"</t>
  </si>
  <si>
    <t>BLOQUE "CULTURAL"</t>
  </si>
  <si>
    <t>BLOQUE "R"</t>
  </si>
  <si>
    <t>BLOQUE "S"</t>
  </si>
  <si>
    <t>BLOQUE "T"</t>
  </si>
  <si>
    <t>BLOQUE "U"</t>
  </si>
  <si>
    <t>BLOQUE "V"</t>
  </si>
  <si>
    <t>POST GRADO</t>
  </si>
  <si>
    <t>BLOQUE "SIM"</t>
  </si>
  <si>
    <t>BLOQUE "CRAI"</t>
  </si>
  <si>
    <t>ÁREA DEPORTIVA</t>
  </si>
  <si>
    <t>BLOQUE "Q"</t>
  </si>
  <si>
    <t>BAR "K"</t>
  </si>
  <si>
    <t>BAR "TURISMO"</t>
  </si>
  <si>
    <t>BLOQUE ALMACEN</t>
  </si>
  <si>
    <t>BAR "N"</t>
  </si>
  <si>
    <t>BAR "POLI DEPORTIVO"</t>
  </si>
  <si>
    <t>BATERIA SANITARIA "I"</t>
  </si>
  <si>
    <t>BATERIA SANITARIA "K"</t>
  </si>
  <si>
    <t>BATERIA SANITARIA "N"</t>
  </si>
  <si>
    <t>GARITA PRINCIPAL</t>
  </si>
  <si>
    <t>TOTAL AVALUO DE LAS EDIFICACIONES $</t>
  </si>
  <si>
    <t>6.2.- AVALUOS ADICIONALES</t>
  </si>
  <si>
    <t>V/U REAL</t>
  </si>
  <si>
    <t>V/UNIT.REPOSICION</t>
  </si>
  <si>
    <t>Caminerías, jardinería, parque lineal, concha acústica, piscina, cerramiento y otros</t>
  </si>
  <si>
    <t>global</t>
  </si>
  <si>
    <t>TOTAL AVALUO DE ADICIONALES $</t>
  </si>
  <si>
    <t>6.2.- AVALUO DE TERRENO</t>
  </si>
  <si>
    <t>AREA UTILIZADA PARA EL CALCULO</t>
  </si>
  <si>
    <t>V. UNIT./M2</t>
  </si>
  <si>
    <t>AVALUO DEL TERRENO $</t>
  </si>
  <si>
    <t>6.3.- SUMA DE AVALUOS</t>
  </si>
  <si>
    <t xml:space="preserve">AVALUO DE EDIFICACIONES </t>
  </si>
  <si>
    <t>$</t>
  </si>
  <si>
    <t>RESUMEN DE AVALUOS</t>
  </si>
  <si>
    <t>OPORTUNIDAD</t>
  </si>
  <si>
    <t>AVALUO</t>
  </si>
  <si>
    <t>REPOSICIÓN</t>
  </si>
  <si>
    <t>AVALUOS ADICIONALES</t>
  </si>
  <si>
    <t xml:space="preserve">AVALUO DEL TERRENO </t>
  </si>
  <si>
    <t>AVALUO TOTAL</t>
  </si>
  <si>
    <t>ALTA</t>
  </si>
  <si>
    <t xml:space="preserve">MEDIA </t>
  </si>
  <si>
    <t>BAJA</t>
  </si>
  <si>
    <t>La propiedad se halla en un sector consolidado y en buenas condiciones, la morfología arquitectónica del entorno es atractiva por las similares características de sus edificaciones, se cree que en el mercado inmobiliario esta propiedad tendrá una muy buena aceptación.
Considerando las características del inmueble se recomienda reservar un DIEZ por ciento con el propósito de estimar el valor de venta RAPIDA.</t>
  </si>
  <si>
    <t xml:space="preserve">COMENTARIOS GENERALES, ANALISIS DE CALIDAD Y FACTIBILIDAD COMERCIAL </t>
  </si>
  <si>
    <t xml:space="preserve">DECLARACIONES EN EL PRESENTE ESTUDIO </t>
  </si>
  <si>
    <t xml:space="preserve">- La información presentada es completa, así como se han considerado todos los aspectos que pudiesen afectar el valor del inmuebles, siendo este avalúo real y profesional.  
- Se aplicaron los conocimientos profesionales requeridos y la experiencia en trabajos similares, para la realización del presente informe.
- El avalúo se realizó libre de todo tipo de presión.  Se asume que la documentación proporcionada es confiable.
- Se inspeccionó el inmueble, reconociendo características, amenazas y el impacto en su valor comercial.
- Declaro bajo juramento que el presente informe es CONFIABLE, VERDADERO y que carece de todo vicio oculto. </t>
  </si>
  <si>
    <t>Arq. Isabel Sánchez Luna  Perito Avaluador</t>
  </si>
  <si>
    <t xml:space="preserve">               SUPERINTENDENCIA DE BANCOS PA-2002-369</t>
  </si>
  <si>
    <t xml:space="preserve">               SUPERINTENDENCIA DE COMPAÑIAS No. SC. RNP. 091</t>
  </si>
  <si>
    <t xml:space="preserve">              CONSEJO DE LA JUDICATURA 1833441</t>
  </si>
  <si>
    <t>Topografía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</si>
</sst>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yyyy\-mm\-dd;@"/>
    <numFmt numFmtId="165" formatCode="#,##0.00\ &quot;m2&quot;"/>
    <numFmt numFmtId="168" formatCode="#,##0.000"/>
  </numFmts>
  <fonts count="14" x14ac:knownFonts="1">
    <font>
      <sz val="10"/>
      <color rgb="FF000000"/>
      <name val="Times New Roman"/>
      <charset val="204"/>
    </font>
    <font>
      <sz val="8"/>
      <color rgb="FF000000"/>
      <name val="Arial"/>
      <family val="2"/>
    </font>
    <font>
      <b/>
      <sz val="8"/>
      <color rgb="FF001F5F"/>
      <name val="Arial"/>
      <family val="2"/>
    </font>
    <font>
      <b/>
      <sz val="8"/>
      <name val="Arial"/>
      <family val="2"/>
    </font>
    <font>
      <sz val="8"/>
      <name val="Arial"/>
      <family val="2"/>
    </font>
    <font>
      <b/>
      <sz val="8"/>
      <color rgb="FF000000"/>
      <name val="Arial"/>
      <family val="2"/>
    </font>
    <font>
      <sz val="6"/>
      <color rgb="FF000000"/>
      <name val="Times New Roman"/>
      <family val="1"/>
    </font>
    <font>
      <sz val="10"/>
      <color rgb="FF000000"/>
      <name val="Times New Roman"/>
      <family val="1"/>
    </font>
    <font>
      <sz val="10"/>
      <name val="Arial"/>
      <family val="2"/>
    </font>
    <font>
      <sz val="8"/>
      <color rgb="FF000000"/>
      <name val="Calibri"/>
      <family val="2"/>
    </font>
    <font>
      <b/>
      <sz val="7"/>
      <name val="Arial"/>
      <family val="2"/>
    </font>
    <font>
      <sz val="7"/>
      <name val="Arial"/>
      <family val="2"/>
    </font>
    <font>
      <sz val="8"/>
      <color theme="0"/>
      <name val="Arial"/>
      <family val="2"/>
    </font>
    <font>
      <b/>
      <sz val="8"/>
      <color theme="0"/>
      <name val="Arial"/>
      <family val="2"/>
    </font>
  </fonts>
  <fills count="6">
    <fill>
      <patternFill patternType="none"/>
    </fill>
    <fill>
      <patternFill patternType="gray125"/>
    </fill>
    <fill>
      <patternFill patternType="solid">
        <fgColor theme="0"/>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39997558519241921"/>
        <bgColor indexed="64"/>
      </patternFill>
    </fill>
  </fills>
  <borders count="101">
    <border>
      <left/>
      <right/>
      <top/>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style="medium">
        <color indexed="64"/>
      </left>
      <right/>
      <top/>
      <bottom/>
      <diagonal/>
    </border>
    <border>
      <left style="medium">
        <color indexed="64"/>
      </left>
      <right/>
      <top style="thin">
        <color rgb="FF000000"/>
      </top>
      <bottom style="thin">
        <color rgb="FF000000"/>
      </bottom>
      <diagonal/>
    </border>
    <border>
      <left style="medium">
        <color indexed="64"/>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style="thin">
        <color indexed="64"/>
      </right>
      <top style="thin">
        <color indexed="64"/>
      </top>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right/>
      <top style="thin">
        <color rgb="FF000000"/>
      </top>
      <bottom style="thin">
        <color indexed="64"/>
      </bottom>
      <diagonal/>
    </border>
    <border>
      <left/>
      <right style="thin">
        <color rgb="FF000000"/>
      </right>
      <top style="thin">
        <color indexed="64"/>
      </top>
      <bottom style="thin">
        <color indexed="64"/>
      </bottom>
      <diagonal/>
    </border>
    <border>
      <left style="medium">
        <color indexed="64"/>
      </left>
      <right/>
      <top style="thin">
        <color indexed="64"/>
      </top>
      <bottom/>
      <diagonal/>
    </border>
    <border>
      <left/>
      <right style="thin">
        <color rgb="FF000000"/>
      </right>
      <top style="thin">
        <color indexed="64"/>
      </top>
      <bottom/>
      <diagonal/>
    </border>
    <border>
      <left/>
      <right/>
      <top/>
      <bottom style="thin">
        <color indexed="64"/>
      </bottom>
      <diagonal/>
    </border>
    <border>
      <left/>
      <right/>
      <top style="thin">
        <color theme="1"/>
      </top>
      <bottom style="thin">
        <color indexed="64"/>
      </bottom>
      <diagonal/>
    </border>
    <border>
      <left/>
      <right/>
      <top style="thin">
        <color indexed="64"/>
      </top>
      <bottom style="thin">
        <color theme="1"/>
      </bottom>
      <diagonal/>
    </border>
    <border>
      <left/>
      <right/>
      <top style="thin">
        <color theme="1"/>
      </top>
      <bottom/>
      <diagonal/>
    </border>
    <border>
      <left/>
      <right style="thin">
        <color indexed="64"/>
      </right>
      <top/>
      <bottom/>
      <diagonal/>
    </border>
    <border>
      <left style="thin">
        <color theme="1"/>
      </left>
      <right style="thin">
        <color theme="1"/>
      </right>
      <top style="thin">
        <color theme="1"/>
      </top>
      <bottom style="thin">
        <color theme="1"/>
      </bottom>
      <diagonal/>
    </border>
    <border>
      <left style="thin">
        <color indexed="64"/>
      </left>
      <right/>
      <top style="thin">
        <color theme="1"/>
      </top>
      <bottom/>
      <diagonal/>
    </border>
    <border>
      <left/>
      <right style="thin">
        <color indexed="64"/>
      </right>
      <top style="thin">
        <color theme="1"/>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
      <left style="medium">
        <color indexed="64"/>
      </left>
      <right/>
      <top/>
      <bottom style="thin">
        <color indexed="64"/>
      </bottom>
      <diagonal/>
    </border>
    <border>
      <left style="thin">
        <color theme="1"/>
      </left>
      <right/>
      <top style="thin">
        <color theme="1"/>
      </top>
      <bottom/>
      <diagonal/>
    </border>
    <border>
      <left/>
      <right style="thin">
        <color theme="1"/>
      </right>
      <top style="thin">
        <color theme="1"/>
      </top>
      <bottom/>
      <diagonal/>
    </border>
    <border>
      <left/>
      <right/>
      <top/>
      <bottom style="thin">
        <color theme="1"/>
      </bottom>
      <diagonal/>
    </border>
    <border>
      <left style="thin">
        <color theme="1"/>
      </left>
      <right/>
      <top/>
      <bottom/>
      <diagonal/>
    </border>
    <border>
      <left style="thin">
        <color indexed="64"/>
      </left>
      <right style="thin">
        <color indexed="64"/>
      </right>
      <top/>
      <bottom/>
      <diagonal/>
    </border>
    <border>
      <left/>
      <right style="thin">
        <color theme="1"/>
      </right>
      <top/>
      <bottom/>
      <diagonal/>
    </border>
    <border>
      <left/>
      <right style="medium">
        <color indexed="64"/>
      </right>
      <top/>
      <bottom/>
      <diagonal/>
    </border>
    <border>
      <left style="medium">
        <color indexed="64"/>
      </left>
      <right/>
      <top style="thin">
        <color indexed="64"/>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1"/>
      </left>
      <right/>
      <top/>
      <bottom style="thin">
        <color rgb="FF000000"/>
      </bottom>
      <diagonal/>
    </border>
    <border>
      <left/>
      <right style="thin">
        <color theme="1"/>
      </right>
      <top/>
      <bottom style="thin">
        <color rgb="FF000000"/>
      </bottom>
      <diagonal/>
    </border>
    <border>
      <left style="thin">
        <color theme="1"/>
      </left>
      <right style="thin">
        <color indexed="64"/>
      </right>
      <top style="thin">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theme="1"/>
      </left>
      <right/>
      <top style="thin">
        <color rgb="FF000000"/>
      </top>
      <bottom style="thin">
        <color rgb="FF000000"/>
      </bottom>
      <diagonal/>
    </border>
    <border>
      <left/>
      <right style="thin">
        <color theme="1"/>
      </right>
      <top style="thin">
        <color rgb="FF000000"/>
      </top>
      <bottom style="thin">
        <color rgb="FF000000"/>
      </bottom>
      <diagonal/>
    </border>
    <border>
      <left style="medium">
        <color indexed="64"/>
      </left>
      <right/>
      <top style="medium">
        <color indexed="64"/>
      </top>
      <bottom style="medium">
        <color indexed="64"/>
      </bottom>
      <diagonal/>
    </border>
    <border>
      <left style="thin">
        <color theme="1"/>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style="thin">
        <color indexed="64"/>
      </right>
      <top style="thin">
        <color theme="1"/>
      </top>
      <bottom style="thin">
        <color indexed="64"/>
      </bottom>
      <diagonal/>
    </border>
    <border>
      <left/>
      <right style="thin">
        <color indexed="64"/>
      </right>
      <top style="thin">
        <color theme="1"/>
      </top>
      <bottom style="thin">
        <color theme="1"/>
      </bottom>
      <diagonal/>
    </border>
    <border>
      <left style="thin">
        <color theme="1"/>
      </left>
      <right/>
      <top style="thin">
        <color indexed="64"/>
      </top>
      <bottom style="thin">
        <color rgb="FF000000"/>
      </bottom>
      <diagonal/>
    </border>
    <border>
      <left/>
      <right style="thin">
        <color theme="1"/>
      </right>
      <top style="thin">
        <color indexed="64"/>
      </top>
      <bottom style="thin">
        <color rgb="FF000000"/>
      </bottom>
      <diagonal/>
    </border>
    <border>
      <left/>
      <right style="medium">
        <color indexed="64"/>
      </right>
      <top style="medium">
        <color indexed="64"/>
      </top>
      <bottom style="medium">
        <color indexed="64"/>
      </bottom>
      <diagonal/>
    </border>
    <border>
      <left style="thin">
        <color theme="1"/>
      </left>
      <right/>
      <top style="thin">
        <color rgb="FF000000"/>
      </top>
      <bottom/>
      <diagonal/>
    </border>
    <border>
      <left/>
      <right style="thin">
        <color theme="1"/>
      </right>
      <top style="thin">
        <color rgb="FF000000"/>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theme="1"/>
      </top>
      <bottom style="thin">
        <color rgb="FF000000"/>
      </bottom>
      <diagonal/>
    </border>
    <border>
      <left/>
      <right/>
      <top style="medium">
        <color theme="1"/>
      </top>
      <bottom style="thin">
        <color indexed="64"/>
      </bottom>
      <diagonal/>
    </border>
    <border>
      <left/>
      <right style="medium">
        <color theme="1"/>
      </right>
      <top style="medium">
        <color theme="1"/>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top style="thin">
        <color rgb="FF000000"/>
      </top>
      <bottom style="medium">
        <color theme="1"/>
      </bottom>
      <diagonal/>
    </border>
    <border>
      <left style="medium">
        <color theme="1"/>
      </left>
      <right/>
      <top style="thin">
        <color indexed="64"/>
      </top>
      <bottom style="medium">
        <color theme="1"/>
      </bottom>
      <diagonal/>
    </border>
    <border>
      <left/>
      <right/>
      <top style="thin">
        <color indexed="64"/>
      </top>
      <bottom style="medium">
        <color theme="1"/>
      </bottom>
      <diagonal/>
    </border>
    <border>
      <left style="medium">
        <color theme="1"/>
      </left>
      <right/>
      <top style="medium">
        <color theme="1"/>
      </top>
      <bottom style="thin">
        <color rgb="FF000000"/>
      </bottom>
      <diagonal/>
    </border>
    <border>
      <left style="medium">
        <color theme="1"/>
      </left>
      <right/>
      <top style="thin">
        <color rgb="FF000000"/>
      </top>
      <bottom style="thin">
        <color indexed="64"/>
      </bottom>
      <diagonal/>
    </border>
    <border>
      <left style="medium">
        <color theme="1"/>
      </left>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thin">
        <color indexed="64"/>
      </right>
      <top/>
      <bottom/>
      <diagonal/>
    </border>
    <border>
      <left style="medium">
        <color theme="1"/>
      </left>
      <right/>
      <top style="thin">
        <color theme="1"/>
      </top>
      <bottom style="medium">
        <color theme="1"/>
      </bottom>
      <diagonal/>
    </border>
    <border>
      <left/>
      <right/>
      <top style="thin">
        <color theme="1"/>
      </top>
      <bottom style="medium">
        <color theme="1"/>
      </bottom>
      <diagonal/>
    </border>
    <border>
      <left/>
      <right style="thin">
        <color indexed="64"/>
      </right>
      <top style="thin">
        <color theme="1"/>
      </top>
      <bottom style="medium">
        <color theme="1"/>
      </bottom>
      <diagonal/>
    </border>
    <border>
      <left style="thin">
        <color indexed="64"/>
      </left>
      <right style="thin">
        <color indexed="64"/>
      </right>
      <top style="thin">
        <color indexed="64"/>
      </top>
      <bottom style="medium">
        <color theme="1"/>
      </bottom>
      <diagonal/>
    </border>
    <border>
      <left style="medium">
        <color theme="1"/>
      </left>
      <right/>
      <top style="medium">
        <color theme="1"/>
      </top>
      <bottom style="thin">
        <color theme="1"/>
      </bottom>
      <diagonal/>
    </border>
    <border>
      <left/>
      <right/>
      <top style="medium">
        <color theme="1"/>
      </top>
      <bottom style="thin">
        <color theme="1"/>
      </bottom>
      <diagonal/>
    </border>
    <border>
      <left/>
      <right style="thin">
        <color indexed="64"/>
      </right>
      <top style="medium">
        <color theme="1"/>
      </top>
      <bottom style="thin">
        <color theme="1"/>
      </bottom>
      <diagonal/>
    </border>
    <border>
      <left/>
      <right style="medium">
        <color indexed="64"/>
      </right>
      <top/>
      <bottom style="thin">
        <color indexed="64"/>
      </bottom>
      <diagonal/>
    </border>
  </borders>
  <cellStyleXfs count="3">
    <xf numFmtId="0" fontId="0" fillId="0" borderId="0"/>
    <xf numFmtId="43" fontId="7" fillId="0" borderId="0" applyFont="0" applyFill="0" applyBorder="0" applyAlignment="0" applyProtection="0"/>
    <xf numFmtId="0" fontId="8" fillId="0" borderId="0"/>
  </cellStyleXfs>
  <cellXfs count="293">
    <xf numFmtId="0" fontId="0" fillId="0" borderId="0" xfId="0" applyAlignment="1">
      <alignment horizontal="left" vertical="top"/>
    </xf>
    <xf numFmtId="0" fontId="1" fillId="0" borderId="0" xfId="0" applyFont="1" applyAlignment="1">
      <alignment horizontal="left" vertical="top"/>
    </xf>
    <xf numFmtId="0" fontId="1" fillId="2" borderId="0" xfId="0" applyFont="1" applyFill="1" applyAlignment="1">
      <alignment horizontal="left" vertical="top"/>
    </xf>
    <xf numFmtId="0" fontId="3" fillId="0" borderId="1" xfId="0" applyFont="1" applyBorder="1" applyAlignment="1">
      <alignment horizontal="right" vertical="top" wrapText="1"/>
    </xf>
    <xf numFmtId="0" fontId="3" fillId="0" borderId="0" xfId="0" applyFont="1" applyAlignment="1">
      <alignment vertical="top" wrapText="1"/>
    </xf>
    <xf numFmtId="0" fontId="3" fillId="0" borderId="23" xfId="0" applyFont="1" applyBorder="1" applyAlignment="1">
      <alignment horizontal="center" vertical="top" wrapText="1"/>
    </xf>
    <xf numFmtId="0" fontId="3" fillId="0" borderId="15" xfId="0" applyFont="1" applyBorder="1" applyAlignment="1">
      <alignment horizontal="center" vertical="top" wrapText="1"/>
    </xf>
    <xf numFmtId="0" fontId="3" fillId="0" borderId="17" xfId="0" applyFont="1" applyBorder="1" applyAlignment="1">
      <alignment vertical="top" wrapText="1"/>
    </xf>
    <xf numFmtId="0" fontId="3" fillId="0" borderId="10" xfId="0" applyFont="1" applyBorder="1" applyAlignment="1">
      <alignment vertical="top" wrapText="1"/>
    </xf>
    <xf numFmtId="0" fontId="3" fillId="0" borderId="32" xfId="0" applyFont="1" applyBorder="1" applyAlignment="1">
      <alignment vertical="top" wrapText="1"/>
    </xf>
    <xf numFmtId="0" fontId="3" fillId="0" borderId="34" xfId="0" applyFont="1" applyBorder="1" applyAlignment="1">
      <alignment horizontal="center" vertical="top" wrapText="1"/>
    </xf>
    <xf numFmtId="0" fontId="4" fillId="0" borderId="30" xfId="0" applyFont="1" applyBorder="1" applyAlignment="1">
      <alignment vertical="center" wrapText="1"/>
    </xf>
    <xf numFmtId="0" fontId="9" fillId="0" borderId="0" xfId="0" applyFont="1" applyAlignment="1">
      <alignment horizontal="left" vertical="top"/>
    </xf>
    <xf numFmtId="0" fontId="1" fillId="0" borderId="9" xfId="0" applyFont="1" applyBorder="1" applyAlignment="1">
      <alignment vertical="top" wrapText="1"/>
    </xf>
    <xf numFmtId="0" fontId="4" fillId="0" borderId="6" xfId="0" applyFont="1" applyBorder="1" applyAlignment="1">
      <alignment vertical="top" wrapText="1"/>
    </xf>
    <xf numFmtId="49" fontId="1" fillId="2" borderId="8" xfId="0" applyNumberFormat="1" applyFont="1" applyFill="1" applyBorder="1" applyAlignment="1">
      <alignment vertical="top" wrapText="1"/>
    </xf>
    <xf numFmtId="2" fontId="1" fillId="0" borderId="49" xfId="0" applyNumberFormat="1" applyFont="1" applyBorder="1" applyAlignment="1">
      <alignment vertical="top" shrinkToFit="1"/>
    </xf>
    <xf numFmtId="2" fontId="1" fillId="0" borderId="33" xfId="0" applyNumberFormat="1" applyFont="1" applyBorder="1" applyAlignment="1">
      <alignment vertical="top" shrinkToFit="1"/>
    </xf>
    <xf numFmtId="2" fontId="1" fillId="0" borderId="45" xfId="0" applyNumberFormat="1" applyFont="1" applyBorder="1" applyAlignment="1">
      <alignment vertical="top" shrinkToFit="1"/>
    </xf>
    <xf numFmtId="2" fontId="5" fillId="0" borderId="39" xfId="0" applyNumberFormat="1" applyFont="1" applyBorder="1" applyAlignment="1">
      <alignment horizontal="left" vertical="top" shrinkToFit="1"/>
    </xf>
    <xf numFmtId="2" fontId="1" fillId="0" borderId="0" xfId="0" applyNumberFormat="1" applyFont="1" applyAlignment="1">
      <alignment vertical="top" shrinkToFit="1"/>
    </xf>
    <xf numFmtId="0" fontId="3" fillId="0" borderId="44" xfId="0" applyFont="1" applyBorder="1" applyAlignment="1">
      <alignment vertical="top" wrapText="1"/>
    </xf>
    <xf numFmtId="2" fontId="1" fillId="0" borderId="16" xfId="0" applyNumberFormat="1" applyFont="1" applyBorder="1" applyAlignment="1">
      <alignment vertical="top" shrinkToFit="1"/>
    </xf>
    <xf numFmtId="0" fontId="4" fillId="0" borderId="47" xfId="0" applyFont="1" applyBorder="1" applyAlignment="1">
      <alignment vertical="top" wrapText="1"/>
    </xf>
    <xf numFmtId="0" fontId="4" fillId="0" borderId="38" xfId="0" applyFont="1" applyBorder="1" applyAlignment="1">
      <alignment vertical="top" wrapText="1"/>
    </xf>
    <xf numFmtId="0" fontId="3" fillId="0" borderId="54" xfId="0" applyFont="1" applyBorder="1" applyAlignment="1">
      <alignment horizontal="center" vertical="top" wrapText="1"/>
    </xf>
    <xf numFmtId="0" fontId="3" fillId="0" borderId="55" xfId="0" applyFont="1" applyBorder="1" applyAlignment="1">
      <alignment horizontal="center" vertical="top" wrapText="1"/>
    </xf>
    <xf numFmtId="0" fontId="3" fillId="0" borderId="16" xfId="0" applyFont="1" applyBorder="1" applyAlignment="1">
      <alignment vertical="top" wrapText="1"/>
    </xf>
    <xf numFmtId="0" fontId="3" fillId="0" borderId="56" xfId="0" applyFont="1" applyBorder="1" applyAlignment="1">
      <alignment horizontal="center" vertical="top" wrapText="1"/>
    </xf>
    <xf numFmtId="0" fontId="3" fillId="0" borderId="19" xfId="0" applyFont="1" applyBorder="1" applyAlignment="1">
      <alignment vertical="top" wrapText="1"/>
    </xf>
    <xf numFmtId="0" fontId="3" fillId="0" borderId="16" xfId="0" applyFont="1" applyBorder="1" applyAlignment="1">
      <alignment horizontal="center" vertical="top" wrapText="1"/>
    </xf>
    <xf numFmtId="0" fontId="3" fillId="0" borderId="45" xfId="0" applyFont="1" applyBorder="1" applyAlignment="1">
      <alignment vertical="top" wrapText="1"/>
    </xf>
    <xf numFmtId="0" fontId="3" fillId="0" borderId="54" xfId="0" applyFont="1" applyBorder="1" applyAlignment="1">
      <alignment vertical="top" wrapText="1"/>
    </xf>
    <xf numFmtId="0" fontId="3" fillId="0" borderId="55" xfId="0" applyFont="1" applyBorder="1" applyAlignment="1">
      <alignment vertical="top" wrapText="1"/>
    </xf>
    <xf numFmtId="0" fontId="4" fillId="0" borderId="51" xfId="0" applyFont="1" applyBorder="1"/>
    <xf numFmtId="9" fontId="4" fillId="0" borderId="8" xfId="0" applyNumberFormat="1" applyFont="1" applyBorder="1"/>
    <xf numFmtId="0" fontId="4" fillId="0" borderId="43" xfId="0" applyFont="1" applyBorder="1"/>
    <xf numFmtId="0" fontId="3" fillId="0" borderId="47" xfId="0" applyFont="1" applyBorder="1" applyAlignment="1">
      <alignment vertical="top" wrapText="1"/>
    </xf>
    <xf numFmtId="0" fontId="4" fillId="0" borderId="9" xfId="0" applyFont="1" applyBorder="1"/>
    <xf numFmtId="9" fontId="4" fillId="0" borderId="8" xfId="2" applyNumberFormat="1" applyFont="1" applyBorder="1"/>
    <xf numFmtId="0" fontId="3" fillId="0" borderId="48" xfId="0" applyFont="1" applyBorder="1" applyAlignment="1">
      <alignment vertical="top" wrapText="1"/>
    </xf>
    <xf numFmtId="0" fontId="3" fillId="0" borderId="34" xfId="0" applyFont="1" applyBorder="1" applyAlignment="1">
      <alignment vertical="top" wrapText="1"/>
    </xf>
    <xf numFmtId="9" fontId="4" fillId="0" borderId="64" xfId="0" applyNumberFormat="1" applyFont="1" applyBorder="1"/>
    <xf numFmtId="0" fontId="3" fillId="0" borderId="9" xfId="0" applyFont="1" applyBorder="1"/>
    <xf numFmtId="0" fontId="3" fillId="0" borderId="0" xfId="0" applyFont="1"/>
    <xf numFmtId="0" fontId="4" fillId="0" borderId="68" xfId="0" applyFont="1" applyBorder="1"/>
    <xf numFmtId="4" fontId="3" fillId="0" borderId="19" xfId="0" applyNumberFormat="1" applyFont="1" applyBorder="1" applyAlignment="1">
      <alignment horizontal="center" vertical="top" wrapText="1"/>
    </xf>
    <xf numFmtId="0" fontId="3" fillId="0" borderId="17" xfId="0" applyFont="1" applyBorder="1" applyAlignment="1">
      <alignment horizontal="right" vertical="top" wrapText="1"/>
    </xf>
    <xf numFmtId="0" fontId="3" fillId="0" borderId="74" xfId="0" applyFont="1" applyBorder="1" applyAlignment="1">
      <alignment horizontal="right" vertical="top" wrapText="1"/>
    </xf>
    <xf numFmtId="0" fontId="3" fillId="4" borderId="78" xfId="0" applyFont="1" applyFill="1" applyBorder="1" applyAlignment="1">
      <alignment horizontal="right" vertical="top" wrapText="1"/>
    </xf>
    <xf numFmtId="0" fontId="3" fillId="0" borderId="92" xfId="0" applyFont="1" applyBorder="1" applyAlignment="1">
      <alignment horizontal="center" vertical="center" wrapText="1"/>
    </xf>
    <xf numFmtId="0" fontId="1" fillId="0" borderId="0" xfId="0" applyFont="1" applyAlignment="1">
      <alignment horizontal="center" vertical="center"/>
    </xf>
    <xf numFmtId="0" fontId="0" fillId="0" borderId="61" xfId="0" applyBorder="1"/>
    <xf numFmtId="0" fontId="0" fillId="0" borderId="85" xfId="0" applyBorder="1"/>
    <xf numFmtId="0" fontId="4" fillId="0" borderId="85" xfId="0" applyFont="1" applyBorder="1" applyAlignment="1">
      <alignment vertical="center"/>
    </xf>
    <xf numFmtId="0" fontId="4" fillId="0" borderId="85" xfId="0" applyFont="1" applyBorder="1" applyAlignment="1">
      <alignment horizontal="center" vertical="center"/>
    </xf>
    <xf numFmtId="0" fontId="3" fillId="0" borderId="50" xfId="0" applyFont="1" applyBorder="1" applyAlignment="1">
      <alignment vertical="top" wrapText="1"/>
    </xf>
    <xf numFmtId="0" fontId="0" fillId="0" borderId="0" xfId="0"/>
    <xf numFmtId="0" fontId="10" fillId="0" borderId="0" xfId="0" applyFont="1" applyAlignment="1">
      <alignment horizontal="centerContinuous"/>
    </xf>
    <xf numFmtId="0" fontId="11" fillId="0" borderId="0" xfId="0" applyFont="1" applyAlignment="1">
      <alignment horizontal="centerContinuous"/>
    </xf>
    <xf numFmtId="0" fontId="11" fillId="0" borderId="0" xfId="0" applyFont="1"/>
    <xf numFmtId="0" fontId="3" fillId="0" borderId="0" xfId="0" applyFont="1" applyAlignment="1">
      <alignment horizontal="centerContinuous"/>
    </xf>
    <xf numFmtId="0" fontId="0" fillId="0" borderId="0" xfId="0" applyAlignment="1">
      <alignment horizontal="centerContinuous"/>
    </xf>
    <xf numFmtId="4" fontId="3" fillId="0" borderId="96" xfId="0" applyNumberFormat="1" applyFont="1" applyBorder="1" applyAlignment="1">
      <alignment horizontal="center" vertical="top" wrapText="1"/>
    </xf>
    <xf numFmtId="2" fontId="1" fillId="0" borderId="0" xfId="0" applyNumberFormat="1" applyFont="1" applyAlignment="1">
      <alignment horizontal="left" vertical="center" indent="2" shrinkToFit="1"/>
    </xf>
    <xf numFmtId="2" fontId="1" fillId="0" borderId="15" xfId="0" applyNumberFormat="1" applyFont="1" applyBorder="1" applyAlignment="1">
      <alignment horizontal="left" vertical="center" indent="2" shrinkToFit="1"/>
    </xf>
    <xf numFmtId="2" fontId="1" fillId="0" borderId="35" xfId="0" applyNumberFormat="1" applyFont="1" applyBorder="1" applyAlignment="1">
      <alignment horizontal="center" vertical="center" shrinkToFit="1"/>
    </xf>
    <xf numFmtId="2" fontId="1" fillId="0" borderId="16" xfId="0" applyNumberFormat="1" applyFont="1" applyBorder="1" applyAlignment="1">
      <alignment vertical="center" shrinkToFit="1"/>
    </xf>
    <xf numFmtId="0" fontId="3" fillId="0" borderId="47" xfId="0" applyFont="1" applyBorder="1" applyAlignment="1">
      <alignment horizontal="center" vertical="top" wrapText="1"/>
    </xf>
    <xf numFmtId="0" fontId="3" fillId="0" borderId="0" xfId="0" applyFont="1" applyAlignment="1">
      <alignment horizontal="center" vertical="top" wrapText="1"/>
    </xf>
    <xf numFmtId="0" fontId="3" fillId="0" borderId="34" xfId="0" applyFont="1" applyBorder="1" applyAlignment="1">
      <alignment horizontal="center" vertical="top" wrapText="1"/>
    </xf>
    <xf numFmtId="0" fontId="3" fillId="0" borderId="71" xfId="0" applyFont="1" applyBorder="1" applyAlignment="1">
      <alignment horizontal="center" vertical="top" wrapText="1"/>
    </xf>
    <xf numFmtId="0" fontId="3" fillId="0" borderId="72" xfId="0" applyFont="1" applyBorder="1" applyAlignment="1">
      <alignment horizontal="center" vertical="top" wrapText="1"/>
    </xf>
    <xf numFmtId="0" fontId="3" fillId="5" borderId="89" xfId="0" applyFont="1" applyFill="1" applyBorder="1" applyAlignment="1">
      <alignment horizontal="center" vertical="center" wrapText="1"/>
    </xf>
    <xf numFmtId="0" fontId="3" fillId="5" borderId="90" xfId="0" applyFont="1" applyFill="1" applyBorder="1" applyAlignment="1">
      <alignment horizontal="center" vertical="center" wrapText="1"/>
    </xf>
    <xf numFmtId="0" fontId="3" fillId="5" borderId="91" xfId="0" applyFont="1" applyFill="1" applyBorder="1" applyAlignment="1">
      <alignment horizontal="center" vertical="center" wrapText="1"/>
    </xf>
    <xf numFmtId="0" fontId="5" fillId="3" borderId="35" xfId="0" applyFont="1" applyFill="1" applyBorder="1" applyAlignment="1">
      <alignment horizontal="left" vertical="top" wrapText="1"/>
    </xf>
    <xf numFmtId="0" fontId="4" fillId="0" borderId="38" xfId="0" applyFont="1" applyBorder="1" applyAlignment="1">
      <alignment horizontal="left" vertical="top" wrapText="1"/>
    </xf>
    <xf numFmtId="0" fontId="4" fillId="0" borderId="39" xfId="0" applyFont="1" applyBorder="1" applyAlignment="1">
      <alignment horizontal="left" vertical="top" wrapText="1"/>
    </xf>
    <xf numFmtId="0" fontId="4" fillId="0" borderId="65" xfId="0" applyFont="1" applyBorder="1" applyAlignment="1">
      <alignment horizontal="left" vertical="top" wrapText="1"/>
    </xf>
    <xf numFmtId="49" fontId="4" fillId="0" borderId="38" xfId="0" applyNumberFormat="1" applyFont="1" applyBorder="1" applyAlignment="1">
      <alignment horizontal="left" vertical="top" wrapText="1"/>
    </xf>
    <xf numFmtId="49" fontId="4" fillId="0" borderId="39" xfId="0" applyNumberFormat="1" applyFont="1" applyBorder="1" applyAlignment="1">
      <alignment horizontal="left" vertical="top" wrapText="1"/>
    </xf>
    <xf numFmtId="49" fontId="4" fillId="0" borderId="65" xfId="0" applyNumberFormat="1" applyFont="1" applyBorder="1" applyAlignment="1">
      <alignment horizontal="left" vertical="top" wrapText="1"/>
    </xf>
    <xf numFmtId="0" fontId="3" fillId="0" borderId="81" xfId="0" applyFont="1" applyBorder="1" applyAlignment="1">
      <alignment horizontal="left" vertical="top" wrapText="1"/>
    </xf>
    <xf numFmtId="0" fontId="3" fillId="0" borderId="73" xfId="0" applyFont="1" applyBorder="1" applyAlignment="1">
      <alignment horizontal="left" vertical="top" wrapText="1"/>
    </xf>
    <xf numFmtId="0" fontId="3" fillId="4" borderId="61" xfId="0" applyFont="1" applyFill="1" applyBorder="1" applyAlignment="1">
      <alignment horizontal="center" vertical="top" wrapText="1"/>
    </xf>
    <xf numFmtId="0" fontId="3" fillId="4" borderId="85" xfId="0" applyFont="1" applyFill="1" applyBorder="1" applyAlignment="1">
      <alignment horizontal="center" vertical="top" wrapText="1"/>
    </xf>
    <xf numFmtId="0" fontId="3" fillId="4" borderId="68" xfId="0" applyFont="1" applyFill="1" applyBorder="1" applyAlignment="1">
      <alignment horizontal="center" vertical="top" wrapText="1"/>
    </xf>
    <xf numFmtId="0" fontId="3" fillId="0" borderId="57" xfId="0" applyFont="1" applyBorder="1" applyAlignment="1">
      <alignment horizontal="center" vertical="top" wrapText="1"/>
    </xf>
    <xf numFmtId="0" fontId="3" fillId="0" borderId="58" xfId="0" applyFont="1" applyBorder="1" applyAlignment="1">
      <alignment horizontal="center" vertical="top" wrapText="1"/>
    </xf>
    <xf numFmtId="0" fontId="3" fillId="5" borderId="51" xfId="0" applyFont="1" applyFill="1" applyBorder="1" applyAlignment="1">
      <alignment horizontal="center" vertical="top" wrapText="1"/>
    </xf>
    <xf numFmtId="0" fontId="3" fillId="5" borderId="10" xfId="0" applyFont="1" applyFill="1" applyBorder="1" applyAlignment="1">
      <alignment horizontal="center" vertical="top" wrapText="1"/>
    </xf>
    <xf numFmtId="0" fontId="3" fillId="0" borderId="86" xfId="0" applyFont="1" applyBorder="1" applyAlignment="1">
      <alignment horizontal="center" vertical="top" wrapText="1"/>
    </xf>
    <xf numFmtId="0" fontId="3" fillId="0" borderId="87" xfId="0" applyFont="1" applyBorder="1" applyAlignment="1">
      <alignment horizontal="center" vertical="top" wrapText="1"/>
    </xf>
    <xf numFmtId="4" fontId="3" fillId="0" borderId="88" xfId="0" applyNumberFormat="1" applyFont="1" applyBorder="1" applyAlignment="1">
      <alignment horizontal="center" vertical="top" wrapText="1"/>
    </xf>
    <xf numFmtId="4" fontId="3" fillId="0" borderId="84" xfId="0" applyNumberFormat="1" applyFont="1" applyBorder="1" applyAlignment="1">
      <alignment horizontal="center" vertical="top" wrapText="1"/>
    </xf>
    <xf numFmtId="0" fontId="3" fillId="0" borderId="82" xfId="0" applyFont="1" applyBorder="1" applyAlignment="1">
      <alignment horizontal="left" vertical="top" wrapText="1"/>
    </xf>
    <xf numFmtId="0" fontId="3" fillId="0" borderId="26" xfId="0" applyFont="1" applyBorder="1" applyAlignment="1">
      <alignment horizontal="left" vertical="top" wrapText="1"/>
    </xf>
    <xf numFmtId="0" fontId="3" fillId="0" borderId="83" xfId="0" applyFont="1" applyBorder="1" applyAlignment="1">
      <alignment horizontal="left" vertical="top" wrapText="1"/>
    </xf>
    <xf numFmtId="0" fontId="3" fillId="0" borderId="17" xfId="0" applyFont="1" applyBorder="1" applyAlignment="1">
      <alignment horizontal="left" vertical="top" wrapText="1"/>
    </xf>
    <xf numFmtId="0" fontId="3" fillId="4" borderId="79" xfId="0" applyFont="1" applyFill="1" applyBorder="1" applyAlignment="1">
      <alignment horizontal="left" vertical="top" wrapText="1"/>
    </xf>
    <xf numFmtId="0" fontId="3" fillId="4" borderId="80" xfId="0" applyFont="1" applyFill="1" applyBorder="1" applyAlignment="1">
      <alignment horizontal="left" vertical="top" wrapText="1"/>
    </xf>
    <xf numFmtId="4" fontId="3" fillId="0" borderId="74" xfId="0" applyNumberFormat="1" applyFont="1" applyBorder="1" applyAlignment="1">
      <alignment horizontal="center" vertical="top" wrapText="1"/>
    </xf>
    <xf numFmtId="4" fontId="3" fillId="0" borderId="75" xfId="0" applyNumberFormat="1" applyFont="1" applyBorder="1" applyAlignment="1">
      <alignment horizontal="center" vertical="top" wrapText="1"/>
    </xf>
    <xf numFmtId="4" fontId="3" fillId="0" borderId="17" xfId="0" applyNumberFormat="1" applyFont="1" applyBorder="1" applyAlignment="1">
      <alignment horizontal="center" vertical="top" wrapText="1"/>
    </xf>
    <xf numFmtId="4" fontId="3" fillId="0" borderId="76" xfId="0" applyNumberFormat="1" applyFont="1" applyBorder="1" applyAlignment="1">
      <alignment horizontal="center" vertical="top" wrapText="1"/>
    </xf>
    <xf numFmtId="4" fontId="3" fillId="4" borderId="77" xfId="0" applyNumberFormat="1" applyFont="1" applyFill="1" applyBorder="1" applyAlignment="1">
      <alignment horizontal="center" vertical="top" wrapText="1"/>
    </xf>
    <xf numFmtId="4" fontId="3" fillId="4" borderId="72" xfId="0" applyNumberFormat="1" applyFont="1" applyFill="1" applyBorder="1" applyAlignment="1">
      <alignment horizontal="center" vertical="top" wrapText="1"/>
    </xf>
    <xf numFmtId="4" fontId="3" fillId="5" borderId="9" xfId="0" applyNumberFormat="1" applyFont="1" applyFill="1" applyBorder="1" applyAlignment="1">
      <alignment horizontal="center" vertical="top" wrapText="1"/>
    </xf>
    <xf numFmtId="4" fontId="3" fillId="5" borderId="76" xfId="0" applyNumberFormat="1" applyFont="1" applyFill="1" applyBorder="1" applyAlignment="1">
      <alignment horizontal="center" vertical="top" wrapText="1"/>
    </xf>
    <xf numFmtId="0" fontId="3" fillId="0" borderId="93" xfId="0" applyFont="1" applyBorder="1" applyAlignment="1">
      <alignment horizontal="left" vertical="top" wrapText="1"/>
    </xf>
    <xf numFmtId="0" fontId="3" fillId="0" borderId="94" xfId="0" applyFont="1" applyBorder="1" applyAlignment="1">
      <alignment horizontal="left" vertical="top" wrapText="1"/>
    </xf>
    <xf numFmtId="0" fontId="3" fillId="0" borderId="95" xfId="0" applyFont="1" applyBorder="1" applyAlignment="1">
      <alignment horizontal="left" vertical="top" wrapText="1"/>
    </xf>
    <xf numFmtId="43" fontId="4" fillId="0" borderId="71" xfId="1" applyFont="1" applyBorder="1" applyAlignment="1">
      <alignment horizontal="center"/>
    </xf>
    <xf numFmtId="43" fontId="4" fillId="0" borderId="72" xfId="1" applyFont="1" applyBorder="1" applyAlignment="1">
      <alignment horizontal="center"/>
    </xf>
    <xf numFmtId="0" fontId="3" fillId="0" borderId="49" xfId="0" applyFont="1" applyBorder="1" applyAlignment="1">
      <alignment horizontal="center" vertical="top" wrapText="1"/>
    </xf>
    <xf numFmtId="0" fontId="3" fillId="4" borderId="38" xfId="0" applyFont="1" applyFill="1" applyBorder="1" applyAlignment="1">
      <alignment horizontal="center" vertical="top" wrapText="1"/>
    </xf>
    <xf numFmtId="0" fontId="3" fillId="4" borderId="39" xfId="0" applyFont="1" applyFill="1" applyBorder="1" applyAlignment="1">
      <alignment horizontal="center" vertical="top" wrapText="1"/>
    </xf>
    <xf numFmtId="0" fontId="3" fillId="4" borderId="65" xfId="0" applyFont="1" applyFill="1" applyBorder="1" applyAlignment="1">
      <alignment horizontal="center" vertical="top" wrapText="1"/>
    </xf>
    <xf numFmtId="4" fontId="3" fillId="4" borderId="9" xfId="0" applyNumberFormat="1" applyFont="1" applyFill="1" applyBorder="1" applyAlignment="1">
      <alignment horizontal="center" vertical="top" wrapText="1"/>
    </xf>
    <xf numFmtId="4" fontId="3" fillId="4" borderId="10" xfId="0" applyNumberFormat="1" applyFont="1" applyFill="1" applyBorder="1" applyAlignment="1">
      <alignment horizontal="center" vertical="top" wrapText="1"/>
    </xf>
    <xf numFmtId="0" fontId="5" fillId="3" borderId="8" xfId="0" applyFont="1" applyFill="1" applyBorder="1" applyAlignment="1">
      <alignment horizontal="left" vertical="top" wrapText="1"/>
    </xf>
    <xf numFmtId="0" fontId="5" fillId="3" borderId="23" xfId="0" applyFont="1" applyFill="1" applyBorder="1" applyAlignment="1">
      <alignment horizontal="left" vertical="top" wrapText="1"/>
    </xf>
    <xf numFmtId="0" fontId="3" fillId="0" borderId="30" xfId="0" applyFont="1" applyBorder="1" applyAlignment="1">
      <alignment horizontal="center" vertical="top" wrapText="1"/>
    </xf>
    <xf numFmtId="0" fontId="3" fillId="0" borderId="16" xfId="0" applyFont="1" applyBorder="1" applyAlignment="1">
      <alignment horizontal="center" vertical="top" wrapText="1"/>
    </xf>
    <xf numFmtId="0" fontId="3" fillId="0" borderId="69" xfId="0" applyFont="1" applyBorder="1" applyAlignment="1">
      <alignment horizontal="center" vertical="top" wrapText="1"/>
    </xf>
    <xf numFmtId="0" fontId="3" fillId="0" borderId="70" xfId="0" applyFont="1" applyBorder="1" applyAlignment="1">
      <alignment horizontal="center" vertical="top" wrapText="1"/>
    </xf>
    <xf numFmtId="0" fontId="3" fillId="0" borderId="11" xfId="0" applyFont="1" applyBorder="1" applyAlignment="1">
      <alignment horizontal="center" vertical="top" wrapText="1"/>
    </xf>
    <xf numFmtId="0" fontId="3" fillId="0" borderId="97" xfId="0" applyFont="1" applyBorder="1" applyAlignment="1">
      <alignment horizontal="left" vertical="top" wrapText="1"/>
    </xf>
    <xf numFmtId="0" fontId="3" fillId="0" borderId="98" xfId="0" applyFont="1" applyBorder="1" applyAlignment="1">
      <alignment horizontal="left" vertical="top" wrapText="1"/>
    </xf>
    <xf numFmtId="0" fontId="3" fillId="0" borderId="99" xfId="0" applyFont="1" applyBorder="1" applyAlignment="1">
      <alignment horizontal="left" vertical="top" wrapText="1"/>
    </xf>
    <xf numFmtId="0" fontId="3" fillId="0" borderId="61" xfId="0" applyFont="1" applyBorder="1" applyAlignment="1">
      <alignment horizontal="center" vertical="top" wrapText="1"/>
    </xf>
    <xf numFmtId="0" fontId="3" fillId="0" borderId="68" xfId="0" applyFont="1" applyBorder="1" applyAlignment="1">
      <alignment horizontal="center" vertical="top" wrapText="1"/>
    </xf>
    <xf numFmtId="4" fontId="3" fillId="0" borderId="61" xfId="0" applyNumberFormat="1" applyFont="1" applyBorder="1" applyAlignment="1">
      <alignment horizontal="center" vertical="top" wrapText="1"/>
    </xf>
    <xf numFmtId="4" fontId="3" fillId="0" borderId="68" xfId="0" applyNumberFormat="1" applyFont="1" applyBorder="1" applyAlignment="1">
      <alignment horizontal="center" vertical="top" wrapText="1"/>
    </xf>
    <xf numFmtId="165" fontId="4" fillId="0" borderId="15" xfId="0" applyNumberFormat="1" applyFont="1" applyBorder="1" applyAlignment="1">
      <alignment horizontal="right"/>
    </xf>
    <xf numFmtId="165" fontId="4" fillId="0" borderId="100" xfId="0" applyNumberFormat="1" applyFont="1" applyBorder="1" applyAlignment="1">
      <alignment horizontal="right"/>
    </xf>
    <xf numFmtId="0" fontId="4" fillId="0" borderId="66" xfId="0" applyFont="1" applyBorder="1" applyAlignment="1">
      <alignment horizontal="left" vertical="top" wrapText="1"/>
    </xf>
    <xf numFmtId="0" fontId="4" fillId="0" borderId="21" xfId="0" applyFont="1" applyBorder="1" applyAlignment="1">
      <alignment horizontal="left" vertical="top" wrapText="1"/>
    </xf>
    <xf numFmtId="0" fontId="4" fillId="0" borderId="67" xfId="0" applyFont="1" applyBorder="1" applyAlignment="1">
      <alignment horizontal="left" vertical="top" wrapText="1"/>
    </xf>
    <xf numFmtId="4" fontId="3" fillId="0" borderId="62" xfId="0" applyNumberFormat="1" applyFont="1" applyBorder="1" applyAlignment="1">
      <alignment horizontal="center" vertical="top" wrapText="1"/>
    </xf>
    <xf numFmtId="4" fontId="3" fillId="0" borderId="10" xfId="0" applyNumberFormat="1" applyFont="1" applyBorder="1" applyAlignment="1">
      <alignment horizontal="center" vertical="top" wrapText="1"/>
    </xf>
    <xf numFmtId="0" fontId="3" fillId="5" borderId="38" xfId="0" applyFont="1" applyFill="1" applyBorder="1" applyAlignment="1">
      <alignment horizontal="center" vertical="top" wrapText="1"/>
    </xf>
    <xf numFmtId="0" fontId="3" fillId="5" borderId="39" xfId="0" applyFont="1" applyFill="1" applyBorder="1" applyAlignment="1">
      <alignment horizontal="center" vertical="top" wrapText="1"/>
    </xf>
    <xf numFmtId="0" fontId="3" fillId="5" borderId="65" xfId="0" applyFont="1" applyFill="1" applyBorder="1" applyAlignment="1">
      <alignment horizontal="center" vertical="top" wrapText="1"/>
    </xf>
    <xf numFmtId="4" fontId="3" fillId="5" borderId="10" xfId="0" applyNumberFormat="1" applyFont="1" applyFill="1" applyBorder="1" applyAlignment="1">
      <alignment horizontal="center" vertical="top" wrapText="1"/>
    </xf>
    <xf numFmtId="4" fontId="3" fillId="0" borderId="9" xfId="0" applyNumberFormat="1" applyFont="1" applyBorder="1" applyAlignment="1">
      <alignment horizontal="center" vertical="top" wrapText="1"/>
    </xf>
    <xf numFmtId="4" fontId="4" fillId="0" borderId="59" xfId="2" applyNumberFormat="1" applyFont="1" applyBorder="1" applyAlignment="1">
      <alignment horizontal="center"/>
    </xf>
    <xf numFmtId="4" fontId="4" fillId="0" borderId="60" xfId="2" applyNumberFormat="1" applyFont="1" applyBorder="1" applyAlignment="1">
      <alignment horizontal="center"/>
    </xf>
    <xf numFmtId="4" fontId="4" fillId="0" borderId="9" xfId="0" applyNumberFormat="1" applyFont="1" applyBorder="1" applyAlignment="1">
      <alignment horizontal="center" vertical="top" wrapText="1"/>
    </xf>
    <xf numFmtId="4" fontId="4" fillId="0" borderId="10" xfId="0" applyNumberFormat="1" applyFont="1" applyBorder="1" applyAlignment="1">
      <alignment horizontal="center" vertical="top" wrapText="1"/>
    </xf>
    <xf numFmtId="0" fontId="3" fillId="0" borderId="9" xfId="0" applyFont="1" applyBorder="1" applyAlignment="1">
      <alignment horizontal="center" vertical="top" wrapText="1"/>
    </xf>
    <xf numFmtId="0" fontId="3" fillId="0" borderId="10" xfId="0" applyFont="1" applyBorder="1" applyAlignment="1">
      <alignment horizontal="center" vertical="top" wrapText="1"/>
    </xf>
    <xf numFmtId="0" fontId="3" fillId="0" borderId="62" xfId="0" applyFont="1" applyBorder="1" applyAlignment="1">
      <alignment horizontal="center" vertical="top" wrapText="1"/>
    </xf>
    <xf numFmtId="0" fontId="3" fillId="0" borderId="66" xfId="0" applyFont="1" applyBorder="1" applyAlignment="1">
      <alignment horizontal="center" vertical="top" wrapText="1"/>
    </xf>
    <xf numFmtId="0" fontId="3" fillId="0" borderId="21" xfId="0" applyFont="1" applyBorder="1" applyAlignment="1">
      <alignment horizontal="center" vertical="top" wrapText="1"/>
    </xf>
    <xf numFmtId="0" fontId="3" fillId="0" borderId="67" xfId="0" applyFont="1" applyBorder="1" applyAlignment="1">
      <alignment horizontal="center" vertical="top" wrapText="1"/>
    </xf>
    <xf numFmtId="4" fontId="4" fillId="0" borderId="59" xfId="0" applyNumberFormat="1" applyFont="1" applyBorder="1" applyAlignment="1">
      <alignment horizontal="center"/>
    </xf>
    <xf numFmtId="4" fontId="4" fillId="0" borderId="60" xfId="0" applyNumberFormat="1" applyFont="1" applyBorder="1" applyAlignment="1">
      <alignment horizontal="center"/>
    </xf>
    <xf numFmtId="165" fontId="4" fillId="0" borderId="62" xfId="2" applyNumberFormat="1" applyFont="1" applyBorder="1" applyAlignment="1">
      <alignment horizontal="center"/>
    </xf>
    <xf numFmtId="165" fontId="4" fillId="0" borderId="63" xfId="2" applyNumberFormat="1" applyFont="1" applyBorder="1" applyAlignment="1">
      <alignment horizontal="center"/>
    </xf>
    <xf numFmtId="165" fontId="4" fillId="0" borderId="52" xfId="2" applyNumberFormat="1" applyFont="1" applyBorder="1" applyAlignment="1">
      <alignment horizontal="center"/>
    </xf>
    <xf numFmtId="165" fontId="4" fillId="0" borderId="53" xfId="2" applyNumberFormat="1" applyFont="1" applyBorder="1" applyAlignment="1">
      <alignment horizontal="center"/>
    </xf>
    <xf numFmtId="165" fontId="3" fillId="0" borderId="38" xfId="0" applyNumberFormat="1" applyFont="1" applyBorder="1" applyAlignment="1">
      <alignment horizontal="center"/>
    </xf>
    <xf numFmtId="165" fontId="3" fillId="0" borderId="40" xfId="0" applyNumberFormat="1" applyFont="1" applyBorder="1" applyAlignment="1">
      <alignment horizontal="center"/>
    </xf>
    <xf numFmtId="165" fontId="4" fillId="0" borderId="41" xfId="0" applyNumberFormat="1" applyFont="1" applyBorder="1" applyAlignment="1">
      <alignment horizontal="center"/>
    </xf>
    <xf numFmtId="165" fontId="4" fillId="0" borderId="42" xfId="0" applyNumberFormat="1" applyFont="1" applyBorder="1" applyAlignment="1">
      <alignment horizontal="center"/>
    </xf>
    <xf numFmtId="165" fontId="4" fillId="0" borderId="62" xfId="0" applyNumberFormat="1" applyFont="1" applyBorder="1" applyAlignment="1">
      <alignment horizontal="center"/>
    </xf>
    <xf numFmtId="165" fontId="4" fillId="0" borderId="63" xfId="0" applyNumberFormat="1" applyFont="1" applyBorder="1" applyAlignment="1">
      <alignment horizontal="center"/>
    </xf>
    <xf numFmtId="0" fontId="4" fillId="0" borderId="20" xfId="0" applyFont="1" applyBorder="1" applyAlignment="1">
      <alignment horizontal="left" vertical="top" wrapText="1"/>
    </xf>
    <xf numFmtId="0" fontId="4" fillId="0" borderId="22" xfId="0" applyFont="1" applyBorder="1" applyAlignment="1">
      <alignment horizontal="left" vertical="top" wrapText="1"/>
    </xf>
    <xf numFmtId="0" fontId="1" fillId="0" borderId="20" xfId="0" applyFont="1" applyBorder="1" applyAlignment="1">
      <alignment horizontal="left" vertical="top" wrapText="1"/>
    </xf>
    <xf numFmtId="0" fontId="1" fillId="0" borderId="21" xfId="0" applyFont="1" applyBorder="1" applyAlignment="1">
      <alignment horizontal="left" vertical="top" wrapText="1"/>
    </xf>
    <xf numFmtId="0" fontId="1" fillId="0" borderId="22" xfId="0" applyFont="1" applyBorder="1" applyAlignment="1">
      <alignment horizontal="left" vertical="top" wrapText="1"/>
    </xf>
    <xf numFmtId="0" fontId="2" fillId="3" borderId="35" xfId="0" applyFont="1" applyFill="1" applyBorder="1" applyAlignment="1">
      <alignment horizontal="center" vertical="top" wrapText="1"/>
    </xf>
    <xf numFmtId="0" fontId="1" fillId="3" borderId="35" xfId="0" applyFont="1" applyFill="1" applyBorder="1" applyAlignment="1">
      <alignment horizontal="center" vertical="top" wrapText="1"/>
    </xf>
    <xf numFmtId="0" fontId="3" fillId="0" borderId="12" xfId="0" applyFont="1" applyBorder="1" applyAlignment="1">
      <alignment horizontal="center" vertical="top" wrapText="1"/>
    </xf>
    <xf numFmtId="0" fontId="3" fillId="0" borderId="13" xfId="0" applyFont="1" applyBorder="1" applyAlignment="1">
      <alignment horizontal="center" vertical="top" wrapText="1"/>
    </xf>
    <xf numFmtId="0" fontId="3" fillId="0" borderId="15" xfId="0" applyFont="1" applyBorder="1" applyAlignment="1">
      <alignment horizontal="center" vertical="top" wrapText="1"/>
    </xf>
    <xf numFmtId="0" fontId="3" fillId="0" borderId="44" xfId="0" applyFont="1" applyBorder="1" applyAlignment="1">
      <alignment horizontal="center" vertical="top" wrapText="1"/>
    </xf>
    <xf numFmtId="0" fontId="3" fillId="0" borderId="45" xfId="0" applyFont="1" applyBorder="1" applyAlignment="1">
      <alignment horizontal="center" vertical="top" wrapText="1"/>
    </xf>
    <xf numFmtId="0" fontId="3" fillId="0" borderId="54" xfId="0" applyFont="1" applyBorder="1" applyAlignment="1">
      <alignment horizontal="center" vertical="top" wrapText="1"/>
    </xf>
    <xf numFmtId="0" fontId="3" fillId="0" borderId="55" xfId="0" applyFont="1" applyBorder="1" applyAlignment="1">
      <alignment horizontal="center" vertical="top" wrapText="1"/>
    </xf>
    <xf numFmtId="2" fontId="1" fillId="0" borderId="35" xfId="0" applyNumberFormat="1" applyFont="1" applyBorder="1" applyAlignment="1">
      <alignment horizontal="left" vertical="top" shrinkToFit="1"/>
    </xf>
    <xf numFmtId="2" fontId="5" fillId="0" borderId="35" xfId="0" applyNumberFormat="1" applyFont="1" applyBorder="1" applyAlignment="1">
      <alignment horizontal="center" vertical="top" shrinkToFit="1"/>
    </xf>
    <xf numFmtId="0" fontId="3" fillId="0" borderId="35" xfId="0" applyFont="1" applyBorder="1" applyAlignment="1">
      <alignment horizontal="right" vertical="top" wrapText="1"/>
    </xf>
    <xf numFmtId="0" fontId="3" fillId="0" borderId="35" xfId="0" applyFont="1" applyBorder="1" applyAlignment="1">
      <alignment horizontal="center" vertical="top" wrapText="1"/>
    </xf>
    <xf numFmtId="2" fontId="1" fillId="0" borderId="30" xfId="0" applyNumberFormat="1" applyFont="1" applyBorder="1" applyAlignment="1">
      <alignment horizontal="center" vertical="center" shrinkToFit="1"/>
    </xf>
    <xf numFmtId="0" fontId="4" fillId="0" borderId="11" xfId="0" applyFont="1" applyBorder="1" applyAlignment="1">
      <alignment horizontal="center" vertical="top" wrapText="1"/>
    </xf>
    <xf numFmtId="0" fontId="3" fillId="3" borderId="23" xfId="0" applyFont="1" applyFill="1" applyBorder="1" applyAlignment="1">
      <alignment horizontal="left" vertical="top" wrapText="1"/>
    </xf>
    <xf numFmtId="2" fontId="1" fillId="0" borderId="46" xfId="0" applyNumberFormat="1" applyFont="1" applyBorder="1" applyAlignment="1">
      <alignment horizontal="center" vertical="center" shrinkToFit="1"/>
    </xf>
    <xf numFmtId="0" fontId="4" fillId="0" borderId="15"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51" xfId="0" applyFont="1" applyBorder="1" applyAlignment="1">
      <alignment horizontal="left" vertical="top" wrapText="1"/>
    </xf>
    <xf numFmtId="0" fontId="4" fillId="0" borderId="17" xfId="0" applyFont="1" applyBorder="1" applyAlignment="1">
      <alignment horizontal="left" vertical="top" wrapText="1"/>
    </xf>
    <xf numFmtId="0" fontId="4" fillId="0" borderId="27" xfId="0" applyFont="1" applyBorder="1" applyAlignment="1">
      <alignment horizontal="left" vertical="top" wrapText="1"/>
    </xf>
    <xf numFmtId="2" fontId="1" fillId="0" borderId="0" xfId="0" applyNumberFormat="1" applyFont="1" applyAlignment="1">
      <alignment horizontal="center" vertical="center" shrinkToFit="1"/>
    </xf>
    <xf numFmtId="2" fontId="1" fillId="0" borderId="33" xfId="0" applyNumberFormat="1" applyFont="1" applyBorder="1" applyAlignment="1">
      <alignment horizontal="center" vertical="top" shrinkToFit="1"/>
    </xf>
    <xf numFmtId="2" fontId="5" fillId="0" borderId="46" xfId="0" applyNumberFormat="1" applyFont="1" applyBorder="1" applyAlignment="1">
      <alignment horizontal="left" vertical="top" shrinkToFit="1"/>
    </xf>
    <xf numFmtId="2" fontId="5" fillId="0" borderId="39" xfId="0" applyNumberFormat="1" applyFont="1" applyBorder="1" applyAlignment="1">
      <alignment horizontal="left" vertical="top" shrinkToFit="1"/>
    </xf>
    <xf numFmtId="0" fontId="4" fillId="0" borderId="1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41" xfId="0" applyFont="1" applyBorder="1" applyAlignment="1">
      <alignment horizontal="center" vertical="top" wrapText="1"/>
    </xf>
    <xf numFmtId="0" fontId="4" fillId="0" borderId="31" xfId="0" applyFont="1" applyBorder="1" applyAlignment="1">
      <alignment horizontal="center" vertical="top" wrapText="1"/>
    </xf>
    <xf numFmtId="0" fontId="4" fillId="0" borderId="42" xfId="0" applyFont="1" applyBorder="1" applyAlignment="1">
      <alignment horizontal="center" vertical="top" wrapText="1"/>
    </xf>
    <xf numFmtId="2" fontId="1" fillId="0" borderId="35" xfId="0" applyNumberFormat="1" applyFont="1" applyBorder="1" applyAlignment="1">
      <alignment horizontal="center" vertical="top" shrinkToFit="1"/>
    </xf>
    <xf numFmtId="2" fontId="1" fillId="0" borderId="38" xfId="0" applyNumberFormat="1" applyFont="1" applyBorder="1" applyAlignment="1">
      <alignment horizontal="center" vertical="top" shrinkToFit="1"/>
    </xf>
    <xf numFmtId="2" fontId="1" fillId="0" borderId="40" xfId="0" applyNumberFormat="1" applyFont="1" applyBorder="1" applyAlignment="1">
      <alignment horizontal="center" vertical="top" shrinkToFit="1"/>
    </xf>
    <xf numFmtId="0" fontId="5" fillId="0" borderId="36" xfId="0" applyFont="1" applyBorder="1" applyAlignment="1">
      <alignment horizontal="left" vertical="top" wrapText="1"/>
    </xf>
    <xf numFmtId="0" fontId="5" fillId="0" borderId="33" xfId="0" applyFont="1" applyBorder="1" applyAlignment="1">
      <alignment horizontal="left" vertical="top" wrapText="1"/>
    </xf>
    <xf numFmtId="0" fontId="5" fillId="0" borderId="37" xfId="0" applyFont="1" applyBorder="1" applyAlignment="1">
      <alignment horizontal="left" vertical="top" wrapText="1"/>
    </xf>
    <xf numFmtId="0" fontId="4" fillId="0" borderId="35" xfId="0" applyFont="1" applyBorder="1" applyAlignment="1">
      <alignment horizontal="center" vertical="center" wrapText="1"/>
    </xf>
    <xf numFmtId="0" fontId="5" fillId="0" borderId="0" xfId="0" applyFont="1" applyAlignment="1">
      <alignment horizontal="left" vertical="top" wrapText="1"/>
    </xf>
    <xf numFmtId="0" fontId="5" fillId="0" borderId="34" xfId="0" applyFont="1" applyBorder="1" applyAlignment="1">
      <alignment horizontal="left" vertical="top" wrapText="1"/>
    </xf>
    <xf numFmtId="49" fontId="5" fillId="2" borderId="25" xfId="0" applyNumberFormat="1" applyFont="1" applyFill="1" applyBorder="1" applyAlignment="1">
      <alignment horizontal="left" vertical="top" wrapText="1"/>
    </xf>
    <xf numFmtId="49" fontId="5" fillId="2" borderId="24" xfId="0" applyNumberFormat="1" applyFont="1" applyFill="1" applyBorder="1" applyAlignment="1">
      <alignment horizontal="left" vertical="top" wrapText="1"/>
    </xf>
    <xf numFmtId="49" fontId="5" fillId="2" borderId="9" xfId="0" applyNumberFormat="1" applyFont="1" applyFill="1" applyBorder="1" applyAlignment="1">
      <alignment horizontal="left" vertical="top" wrapText="1"/>
    </xf>
    <xf numFmtId="49" fontId="5" fillId="2" borderId="10" xfId="0" applyNumberFormat="1" applyFont="1" applyFill="1" applyBorder="1" applyAlignment="1">
      <alignment horizontal="left" vertical="top" wrapText="1"/>
    </xf>
    <xf numFmtId="0" fontId="3" fillId="3" borderId="7" xfId="0" applyFont="1" applyFill="1" applyBorder="1" applyAlignment="1">
      <alignment horizontal="left" vertical="top" wrapText="1"/>
    </xf>
    <xf numFmtId="0" fontId="1" fillId="3" borderId="3" xfId="0" applyFont="1" applyFill="1" applyBorder="1" applyAlignment="1">
      <alignment horizontal="left" vertical="top" wrapText="1"/>
    </xf>
    <xf numFmtId="0" fontId="1" fillId="3" borderId="4" xfId="0" applyFont="1" applyFill="1" applyBorder="1" applyAlignment="1">
      <alignment horizontal="left" vertical="top" wrapText="1"/>
    </xf>
    <xf numFmtId="0" fontId="5" fillId="0" borderId="2" xfId="0" applyFont="1" applyBorder="1" applyAlignment="1">
      <alignment horizontal="left" vertical="top" wrapText="1"/>
    </xf>
    <xf numFmtId="0" fontId="5" fillId="0" borderId="18" xfId="0" applyFont="1" applyBorder="1" applyAlignment="1">
      <alignment horizontal="left" vertical="top" wrapText="1"/>
    </xf>
    <xf numFmtId="0" fontId="5" fillId="0" borderId="17" xfId="0" applyFont="1" applyBorder="1" applyAlignment="1">
      <alignment horizontal="left" vertical="top" wrapText="1"/>
    </xf>
    <xf numFmtId="0" fontId="5" fillId="0" borderId="10" xfId="0" applyFont="1" applyBorder="1" applyAlignment="1">
      <alignment horizontal="left" vertical="top" wrapText="1"/>
    </xf>
    <xf numFmtId="0" fontId="2" fillId="3" borderId="28"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29" xfId="0" applyFont="1" applyFill="1" applyBorder="1" applyAlignment="1">
      <alignment horizontal="center" vertical="top" wrapText="1"/>
    </xf>
    <xf numFmtId="0" fontId="4" fillId="0" borderId="17" xfId="0" applyFont="1" applyBorder="1" applyAlignment="1">
      <alignment horizontal="center" vertical="center" wrapText="1"/>
    </xf>
    <xf numFmtId="0" fontId="4" fillId="0" borderId="32" xfId="0" applyFont="1" applyBorder="1" applyAlignment="1">
      <alignment horizontal="center" vertical="top" wrapText="1"/>
    </xf>
    <xf numFmtId="0" fontId="4" fillId="0" borderId="9" xfId="0" applyFont="1" applyBorder="1" applyAlignment="1">
      <alignment horizontal="center" vertical="center" wrapText="1"/>
    </xf>
    <xf numFmtId="0" fontId="4" fillId="0" borderId="31" xfId="0" applyFont="1" applyBorder="1" applyAlignment="1">
      <alignment horizontal="left" vertical="center" wrapText="1"/>
    </xf>
    <xf numFmtId="0" fontId="3" fillId="0" borderId="30" xfId="0" applyFont="1" applyBorder="1" applyAlignment="1">
      <alignment horizontal="left" vertical="center" wrapText="1"/>
    </xf>
    <xf numFmtId="0" fontId="3" fillId="0" borderId="17" xfId="0" applyFont="1" applyBorder="1" applyAlignment="1">
      <alignment horizontal="left" vertical="center" wrapText="1"/>
    </xf>
    <xf numFmtId="0" fontId="3" fillId="0" borderId="10" xfId="0" applyFont="1" applyBorder="1" applyAlignment="1">
      <alignment horizontal="left" vertical="center" wrapText="1"/>
    </xf>
    <xf numFmtId="164" fontId="3" fillId="0" borderId="0" xfId="0" applyNumberFormat="1" applyFont="1" applyAlignment="1">
      <alignment horizontal="left" vertical="center" wrapText="1"/>
    </xf>
    <xf numFmtId="0" fontId="1" fillId="0" borderId="0" xfId="0" applyFont="1" applyAlignment="1">
      <alignment horizontal="left" vertical="top" wrapText="1"/>
    </xf>
    <xf numFmtId="0" fontId="4" fillId="0" borderId="0" xfId="0" applyFont="1" applyAlignment="1">
      <alignment horizontal="left" vertical="top" wrapText="1"/>
    </xf>
    <xf numFmtId="164" fontId="3" fillId="0" borderId="0" xfId="0" applyNumberFormat="1" applyFont="1" applyAlignment="1">
      <alignment horizontal="center" vertical="center" wrapText="1"/>
    </xf>
    <xf numFmtId="49" fontId="1" fillId="0" borderId="9" xfId="0" applyNumberFormat="1" applyFont="1" applyBorder="1" applyAlignment="1">
      <alignment horizontal="left" vertical="top" wrapText="1"/>
    </xf>
    <xf numFmtId="49" fontId="1" fillId="0" borderId="17" xfId="0" applyNumberFormat="1" applyFont="1" applyBorder="1" applyAlignment="1">
      <alignment horizontal="left" vertical="top" wrapText="1"/>
    </xf>
    <xf numFmtId="49" fontId="1" fillId="0" borderId="10" xfId="0" applyNumberFormat="1" applyFont="1" applyBorder="1" applyAlignment="1">
      <alignment horizontal="left" vertical="top" wrapText="1"/>
    </xf>
    <xf numFmtId="0" fontId="3" fillId="3" borderId="8" xfId="0" applyFont="1" applyFill="1" applyBorder="1" applyAlignment="1">
      <alignment horizontal="left" vertical="top" wrapText="1"/>
    </xf>
    <xf numFmtId="0" fontId="4" fillId="0" borderId="15" xfId="0" applyFont="1" applyBorder="1" applyAlignment="1">
      <alignment horizontal="center" vertical="top" wrapText="1"/>
    </xf>
    <xf numFmtId="0" fontId="4" fillId="0" borderId="30" xfId="0" applyFont="1" applyBorder="1" applyAlignment="1">
      <alignment horizontal="center" vertical="top" wrapText="1"/>
    </xf>
    <xf numFmtId="0" fontId="4" fillId="0" borderId="16" xfId="0" applyFont="1" applyBorder="1" applyAlignment="1">
      <alignment horizontal="center" vertical="top" wrapText="1"/>
    </xf>
    <xf numFmtId="164" fontId="4" fillId="0" borderId="35" xfId="0" applyNumberFormat="1" applyFont="1" applyBorder="1" applyAlignment="1">
      <alignment horizontal="center" vertical="center" wrapText="1"/>
    </xf>
    <xf numFmtId="0" fontId="3" fillId="0" borderId="41" xfId="0" applyFont="1" applyBorder="1" applyAlignment="1">
      <alignment horizontal="left" vertical="center" wrapText="1"/>
    </xf>
    <xf numFmtId="0" fontId="3" fillId="0" borderId="31" xfId="0" applyFont="1" applyBorder="1" applyAlignment="1">
      <alignment horizontal="left" vertical="center" wrapText="1"/>
    </xf>
    <xf numFmtId="0" fontId="3" fillId="0" borderId="42" xfId="0" applyFont="1" applyBorder="1" applyAlignment="1">
      <alignment horizontal="left" vertical="center" wrapText="1"/>
    </xf>
    <xf numFmtId="0" fontId="2" fillId="3" borderId="8" xfId="0" applyFont="1" applyFill="1" applyBorder="1" applyAlignment="1">
      <alignment horizontal="left" vertical="top" wrapText="1"/>
    </xf>
    <xf numFmtId="49" fontId="1" fillId="0" borderId="8" xfId="0" applyNumberFormat="1" applyFont="1" applyBorder="1" applyAlignment="1">
      <alignment horizontal="left" vertical="top" wrapText="1"/>
    </xf>
    <xf numFmtId="0" fontId="3" fillId="0" borderId="44" xfId="0" applyFont="1" applyBorder="1" applyAlignment="1">
      <alignment horizontal="left" vertical="top" wrapText="1"/>
    </xf>
    <xf numFmtId="0" fontId="3" fillId="0" borderId="33" xfId="0" applyFont="1" applyBorder="1" applyAlignment="1">
      <alignment horizontal="left" vertical="top" wrapText="1"/>
    </xf>
    <xf numFmtId="164" fontId="3" fillId="0" borderId="35" xfId="0" applyNumberFormat="1" applyFont="1" applyBorder="1" applyAlignment="1">
      <alignment horizontal="center" vertical="center" wrapText="1"/>
    </xf>
    <xf numFmtId="0" fontId="4" fillId="0" borderId="38"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40"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164" fontId="3" fillId="0" borderId="38" xfId="0" applyNumberFormat="1" applyFont="1" applyBorder="1" applyAlignment="1">
      <alignment horizontal="center" vertical="center" wrapText="1"/>
    </xf>
    <xf numFmtId="164" fontId="3" fillId="0" borderId="39" xfId="0" applyNumberFormat="1" applyFont="1" applyBorder="1" applyAlignment="1">
      <alignment horizontal="center" vertical="center" wrapText="1"/>
    </xf>
    <xf numFmtId="164" fontId="3" fillId="0" borderId="40" xfId="0" applyNumberFormat="1" applyFont="1" applyBorder="1" applyAlignment="1">
      <alignment horizontal="center" vertical="center" wrapText="1"/>
    </xf>
    <xf numFmtId="0" fontId="4" fillId="0" borderId="38" xfId="0" applyFont="1" applyBorder="1" applyAlignment="1">
      <alignment horizontal="center" vertical="top" wrapText="1"/>
    </xf>
    <xf numFmtId="0" fontId="4" fillId="0" borderId="39" xfId="0" applyFont="1" applyBorder="1" applyAlignment="1">
      <alignment horizontal="center" vertical="top" wrapText="1"/>
    </xf>
    <xf numFmtId="0" fontId="4" fillId="0" borderId="40" xfId="0" applyFont="1" applyBorder="1" applyAlignment="1">
      <alignment horizontal="center" vertical="top" wrapText="1"/>
    </xf>
    <xf numFmtId="0" fontId="3" fillId="0" borderId="38" xfId="0" applyFont="1" applyBorder="1" applyAlignment="1">
      <alignment horizontal="center" vertical="top" wrapText="1"/>
    </xf>
    <xf numFmtId="0" fontId="3" fillId="0" borderId="39" xfId="0" applyFont="1" applyBorder="1" applyAlignment="1">
      <alignment horizontal="center" vertical="top" wrapText="1"/>
    </xf>
    <xf numFmtId="0" fontId="3" fillId="0" borderId="40" xfId="0" applyFont="1" applyBorder="1" applyAlignment="1">
      <alignment horizontal="center" vertical="top" wrapText="1"/>
    </xf>
    <xf numFmtId="0" fontId="4" fillId="0" borderId="9" xfId="0" applyFont="1" applyBorder="1" applyAlignment="1">
      <alignment horizontal="left" vertical="center" wrapText="1"/>
    </xf>
    <xf numFmtId="0" fontId="4" fillId="0" borderId="17" xfId="0" applyFont="1" applyBorder="1" applyAlignment="1">
      <alignment horizontal="left" vertical="center" wrapText="1"/>
    </xf>
    <xf numFmtId="0" fontId="4" fillId="0" borderId="32" xfId="0" applyFont="1" applyBorder="1" applyAlignment="1">
      <alignment horizontal="center" vertical="center" wrapText="1"/>
    </xf>
    <xf numFmtId="0" fontId="3" fillId="0" borderId="5" xfId="0" applyFont="1" applyBorder="1" applyAlignment="1">
      <alignment horizontal="left" vertical="top" wrapText="1"/>
    </xf>
    <xf numFmtId="0" fontId="3" fillId="0" borderId="0" xfId="0" applyFont="1" applyAlignment="1">
      <alignment horizontal="left" vertical="top" wrapText="1"/>
    </xf>
    <xf numFmtId="0" fontId="3" fillId="0" borderId="34" xfId="0" applyFont="1" applyBorder="1" applyAlignment="1">
      <alignment horizontal="left" vertical="top" wrapText="1"/>
    </xf>
    <xf numFmtId="1" fontId="12" fillId="0" borderId="45" xfId="0" applyNumberFormat="1" applyFont="1" applyBorder="1" applyAlignment="1">
      <alignment vertical="center" shrinkToFit="1"/>
    </xf>
    <xf numFmtId="2" fontId="1" fillId="0" borderId="15" xfId="0" applyNumberFormat="1" applyFont="1" applyBorder="1" applyAlignment="1">
      <alignment horizontal="right" vertical="center" shrinkToFit="1"/>
    </xf>
    <xf numFmtId="2" fontId="1" fillId="0" borderId="12" xfId="0" applyNumberFormat="1" applyFont="1" applyBorder="1" applyAlignment="1">
      <alignment horizontal="left" vertical="center" indent="1" shrinkToFit="1"/>
    </xf>
    <xf numFmtId="2" fontId="12" fillId="0" borderId="13" xfId="0" applyNumberFormat="1" applyFont="1" applyBorder="1" applyAlignment="1">
      <alignment vertical="center" shrinkToFit="1"/>
    </xf>
    <xf numFmtId="2" fontId="13" fillId="0" borderId="13" xfId="0" applyNumberFormat="1" applyFont="1" applyBorder="1" applyAlignment="1">
      <alignment vertical="top" shrinkToFit="1"/>
    </xf>
    <xf numFmtId="2" fontId="12" fillId="0" borderId="0" xfId="0" applyNumberFormat="1" applyFont="1" applyAlignment="1">
      <alignment vertical="top" shrinkToFit="1"/>
    </xf>
    <xf numFmtId="2" fontId="1" fillId="0" borderId="0" xfId="0" applyNumberFormat="1" applyFont="1" applyAlignment="1">
      <alignment horizontal="left" vertical="top" shrinkToFit="1"/>
    </xf>
    <xf numFmtId="0" fontId="12" fillId="0" borderId="0" xfId="0" applyFont="1" applyAlignment="1">
      <alignment vertical="top" wrapText="1"/>
    </xf>
    <xf numFmtId="0" fontId="4" fillId="0" borderId="14" xfId="0" applyFont="1" applyBorder="1" applyAlignment="1">
      <alignment horizontal="left" vertical="top" wrapText="1" indent="8"/>
    </xf>
    <xf numFmtId="0" fontId="4" fillId="0" borderId="0" xfId="0" applyFont="1" applyBorder="1" applyAlignment="1">
      <alignment horizontal="left" vertical="top" wrapText="1" indent="8"/>
    </xf>
    <xf numFmtId="0" fontId="4" fillId="0" borderId="47" xfId="0" applyFont="1" applyBorder="1" applyAlignment="1">
      <alignment horizontal="left" vertical="top" wrapText="1" indent="8"/>
    </xf>
    <xf numFmtId="0" fontId="13" fillId="0" borderId="0" xfId="0" applyFont="1" applyAlignment="1">
      <alignment vertical="top" wrapText="1"/>
    </xf>
    <xf numFmtId="0" fontId="13" fillId="0" borderId="5" xfId="0" applyFont="1" applyBorder="1" applyAlignment="1">
      <alignment horizontal="center" vertical="top" wrapText="1"/>
    </xf>
    <xf numFmtId="4" fontId="3" fillId="0" borderId="0" xfId="0" applyNumberFormat="1" applyFont="1" applyAlignment="1">
      <alignment vertical="top" wrapText="1"/>
    </xf>
    <xf numFmtId="168" fontId="3" fillId="0" borderId="0" xfId="0" applyNumberFormat="1" applyFont="1" applyAlignment="1">
      <alignment vertical="top" wrapText="1"/>
    </xf>
    <xf numFmtId="0" fontId="1" fillId="0" borderId="14" xfId="0" applyFont="1" applyBorder="1" applyAlignment="1">
      <alignment horizontal="left" vertical="top" wrapText="1"/>
    </xf>
    <xf numFmtId="0" fontId="1" fillId="0" borderId="34" xfId="0" applyFont="1" applyBorder="1" applyAlignment="1">
      <alignment horizontal="left" vertical="top" wrapText="1"/>
    </xf>
  </cellXfs>
  <cellStyles count="3">
    <cellStyle name="Millares" xfId="1" builtinId="3"/>
    <cellStyle name="Normal" xfId="0" builtinId="0"/>
    <cellStyle name="Normal 2" xfId="2" xr:uid="{5F008314-B28D-4372-A814-B3529F5A09BB}"/>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fmlaLink="$C$33" lockText="1" noThreeD="1"/>
</file>

<file path=xl/ctrlProps/ctrlProp10.xml><?xml version="1.0" encoding="utf-8"?>
<formControlPr xmlns="http://schemas.microsoft.com/office/spreadsheetml/2009/9/main" objectType="CheckBox" fmlaLink="$C$34" lockText="1" noThreeD="1"/>
</file>

<file path=xl/ctrlProps/ctrlProp11.xml><?xml version="1.0" encoding="utf-8"?>
<formControlPr xmlns="http://schemas.microsoft.com/office/spreadsheetml/2009/9/main" objectType="CheckBox" fmlaLink="$C$35" lockText="1" noThreeD="1"/>
</file>

<file path=xl/ctrlProps/ctrlProp12.xml><?xml version="1.0" encoding="utf-8"?>
<formControlPr xmlns="http://schemas.microsoft.com/office/spreadsheetml/2009/9/main" objectType="CheckBox" fmlaLink="$I$33" lockText="1" noThreeD="1"/>
</file>

<file path=xl/ctrlProps/ctrlProp13.xml><?xml version="1.0" encoding="utf-8"?>
<formControlPr xmlns="http://schemas.microsoft.com/office/spreadsheetml/2009/9/main" objectType="CheckBox" fmlaLink="$I$34" lockText="1" noThreeD="1"/>
</file>

<file path=xl/ctrlProps/ctrlProp14.xml><?xml version="1.0" encoding="utf-8"?>
<formControlPr xmlns="http://schemas.microsoft.com/office/spreadsheetml/2009/9/main" objectType="CheckBox" checked="Checked" fmlaLink="$I$35" lockText="1" noThreeD="1"/>
</file>

<file path=xl/ctrlProps/ctrlProp15.xml><?xml version="1.0" encoding="utf-8"?>
<formControlPr xmlns="http://schemas.microsoft.com/office/spreadsheetml/2009/9/main" objectType="CheckBox" checked="Checked" fmlaLink="$C$36" lockText="1" noThreeD="1"/>
</file>

<file path=xl/ctrlProps/ctrlProp16.xml><?xml version="1.0" encoding="utf-8"?>
<formControlPr xmlns="http://schemas.microsoft.com/office/spreadsheetml/2009/9/main" objectType="CheckBox" checked="Checked" fmlaLink="$C$37" lockText="1" noThreeD="1"/>
</file>

<file path=xl/ctrlProps/ctrlProp17.xml><?xml version="1.0" encoding="utf-8"?>
<formControlPr xmlns="http://schemas.microsoft.com/office/spreadsheetml/2009/9/main" objectType="CheckBox" checked="Checked" fmlaLink="$I$36" lockText="1" noThreeD="1"/>
</file>

<file path=xl/ctrlProps/ctrlProp18.xml><?xml version="1.0" encoding="utf-8"?>
<formControlPr xmlns="http://schemas.microsoft.com/office/spreadsheetml/2009/9/main" objectType="CheckBox" checked="Checked" fmlaLink="$I$37"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Radio" firstButton="1" fmlaLink="$K$145" lockText="1"/>
</file>

<file path=xl/ctrlProps/ctrlProp22.xml><?xml version="1.0" encoding="utf-8"?>
<formControlPr xmlns="http://schemas.microsoft.com/office/spreadsheetml/2009/9/main" objectType="Radio" lockText="1"/>
</file>

<file path=xl/ctrlProps/ctrlProp23.xml><?xml version="1.0" encoding="utf-8"?>
<formControlPr xmlns="http://schemas.microsoft.com/office/spreadsheetml/2009/9/main" objectType="Radio" checked="Checked" lockText="1"/>
</file>

<file path=xl/ctrlProps/ctrlProp24.xml><?xml version="1.0" encoding="utf-8"?>
<formControlPr xmlns="http://schemas.microsoft.com/office/spreadsheetml/2009/9/main" objectType="Radio" firstButton="1" fmlaLink="$E$50"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Radio" checked="Checked" firstButton="1" lockText="1"/>
</file>

<file path=xl/ctrlProps/ctrlProp29.xml><?xml version="1.0" encoding="utf-8"?>
<formControlPr xmlns="http://schemas.microsoft.com/office/spreadsheetml/2009/9/main" objectType="GBox"/>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118</xdr:row>
          <xdr:rowOff>38100</xdr:rowOff>
        </xdr:from>
        <xdr:to>
          <xdr:col>15</xdr:col>
          <xdr:colOff>9525</xdr:colOff>
          <xdr:row>119</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C" sz="600" b="0" i="0" u="none" strike="noStrike" baseline="0">
                  <a:solidFill>
                    <a:srgbClr val="000000"/>
                  </a:solidFill>
                  <a:latin typeface="Times New Roman"/>
                  <a:cs typeface="Times New Roman"/>
                </a:rPr>
                <a:t>↑↑↑↑  AGREGAR FILA ANTERIOR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118</xdr:row>
          <xdr:rowOff>38100</xdr:rowOff>
        </xdr:from>
        <xdr:to>
          <xdr:col>18</xdr:col>
          <xdr:colOff>47625</xdr:colOff>
          <xdr:row>119</xdr:row>
          <xdr:rowOff>19050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C" sz="600" b="0" i="0" u="none" strike="noStrike" baseline="0">
                  <a:solidFill>
                    <a:srgbClr val="000000"/>
                  </a:solidFill>
                  <a:latin typeface="Times New Roman"/>
                  <a:cs typeface="Times New Roman"/>
                </a:rPr>
                <a:t>↑↑↑↑  BORRAR FILA ANTERIOR ↑↑↑↑</a:t>
              </a:r>
            </a:p>
          </xdr:txBody>
        </xdr:sp>
        <xdr:clientData fPrintsWithSheet="0"/>
      </xdr:twoCellAnchor>
    </mc:Choice>
    <mc:Fallback/>
  </mc:AlternateContent>
  <xdr:twoCellAnchor editAs="oneCell">
    <xdr:from>
      <xdr:col>1</xdr:col>
      <xdr:colOff>115956</xdr:colOff>
      <xdr:row>0</xdr:row>
      <xdr:rowOff>41412</xdr:rowOff>
    </xdr:from>
    <xdr:to>
      <xdr:col>3</xdr:col>
      <xdr:colOff>340542</xdr:colOff>
      <xdr:row>7</xdr:row>
      <xdr:rowOff>72368</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6630" y="41412"/>
          <a:ext cx="1516673" cy="1016586"/>
        </a:xfrm>
        <a:prstGeom prst="rect">
          <a:avLst/>
        </a:prstGeom>
        <a:noFill/>
        <a:ln>
          <a:noFill/>
        </a:ln>
      </xdr:spPr>
    </xdr:pic>
    <xdr:clientData/>
  </xdr:twoCellAnchor>
  <xdr:twoCellAnchor editAs="oneCell">
    <xdr:from>
      <xdr:col>3</xdr:col>
      <xdr:colOff>363385</xdr:colOff>
      <xdr:row>1</xdr:row>
      <xdr:rowOff>14432</xdr:rowOff>
    </xdr:from>
    <xdr:to>
      <xdr:col>11</xdr:col>
      <xdr:colOff>251905</xdr:colOff>
      <xdr:row>7</xdr:row>
      <xdr:rowOff>1</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Layer>
              </a14:imgProps>
            </a:ext>
          </a:extLst>
        </a:blip>
        <a:stretch>
          <a:fillRect/>
        </a:stretch>
      </xdr:blipFill>
      <xdr:spPr>
        <a:xfrm>
          <a:off x="2226972" y="155236"/>
          <a:ext cx="5015455" cy="8303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85725</xdr:colOff>
          <xdr:row>14</xdr:row>
          <xdr:rowOff>19050</xdr:rowOff>
        </xdr:from>
        <xdr:to>
          <xdr:col>2</xdr:col>
          <xdr:colOff>381000</xdr:colOff>
          <xdr:row>14</xdr:row>
          <xdr:rowOff>228600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28575</xdr:rowOff>
        </xdr:from>
        <xdr:to>
          <xdr:col>5</xdr:col>
          <xdr:colOff>304800</xdr:colOff>
          <xdr:row>14</xdr:row>
          <xdr:rowOff>238125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14</xdr:row>
          <xdr:rowOff>28575</xdr:rowOff>
        </xdr:from>
        <xdr:to>
          <xdr:col>8</xdr:col>
          <xdr:colOff>466725</xdr:colOff>
          <xdr:row>14</xdr:row>
          <xdr:rowOff>238125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14</xdr:row>
          <xdr:rowOff>28575</xdr:rowOff>
        </xdr:from>
        <xdr:to>
          <xdr:col>11</xdr:col>
          <xdr:colOff>419100</xdr:colOff>
          <xdr:row>14</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133350</xdr:rowOff>
        </xdr:from>
        <xdr:to>
          <xdr:col>5</xdr:col>
          <xdr:colOff>314325</xdr:colOff>
          <xdr:row>18</xdr:row>
          <xdr:rowOff>9525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16</xdr:row>
          <xdr:rowOff>133350</xdr:rowOff>
        </xdr:from>
        <xdr:to>
          <xdr:col>8</xdr:col>
          <xdr:colOff>476250</xdr:colOff>
          <xdr:row>18</xdr:row>
          <xdr:rowOff>9525</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364434</xdr:colOff>
      <xdr:row>8</xdr:row>
      <xdr:rowOff>49696</xdr:rowOff>
    </xdr:from>
    <xdr:to>
      <xdr:col>3</xdr:col>
      <xdr:colOff>530086</xdr:colOff>
      <xdr:row>8</xdr:row>
      <xdr:rowOff>95415</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3929" t="57033" r="3056" b="26672"/>
        <a:stretch/>
      </xdr:blipFill>
      <xdr:spPr bwMode="auto">
        <a:xfrm rot="5400000">
          <a:off x="2287987" y="1116165"/>
          <a:ext cx="45719" cy="165652"/>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2</xdr:col>
          <xdr:colOff>180975</xdr:colOff>
          <xdr:row>31</xdr:row>
          <xdr:rowOff>104775</xdr:rowOff>
        </xdr:from>
        <xdr:to>
          <xdr:col>2</xdr:col>
          <xdr:colOff>495300</xdr:colOff>
          <xdr:row>33</xdr:row>
          <xdr:rowOff>28574</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179733</xdr:colOff>
          <xdr:row>32</xdr:row>
          <xdr:rowOff>106017</xdr:rowOff>
        </xdr:from>
        <xdr:to>
          <xdr:col>2</xdr:col>
          <xdr:colOff>494058</xdr:colOff>
          <xdr:row>34</xdr:row>
          <xdr:rowOff>29817</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33</xdr:row>
          <xdr:rowOff>106017</xdr:rowOff>
        </xdr:from>
        <xdr:to>
          <xdr:col>2</xdr:col>
          <xdr:colOff>495300</xdr:colOff>
          <xdr:row>35</xdr:row>
          <xdr:rowOff>29818</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31</xdr:row>
          <xdr:rowOff>92766</xdr:rowOff>
        </xdr:from>
        <xdr:to>
          <xdr:col>8</xdr:col>
          <xdr:colOff>447675</xdr:colOff>
          <xdr:row>33</xdr:row>
          <xdr:rowOff>35615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74958</xdr:colOff>
          <xdr:row>32</xdr:row>
          <xdr:rowOff>86967</xdr:rowOff>
        </xdr:from>
        <xdr:to>
          <xdr:col>8</xdr:col>
          <xdr:colOff>436908</xdr:colOff>
          <xdr:row>34</xdr:row>
          <xdr:rowOff>29817</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33</xdr:row>
          <xdr:rowOff>86967</xdr:rowOff>
        </xdr:from>
        <xdr:to>
          <xdr:col>8</xdr:col>
          <xdr:colOff>438150</xdr:colOff>
          <xdr:row>35</xdr:row>
          <xdr:rowOff>29818</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34</xdr:row>
          <xdr:rowOff>114300</xdr:rowOff>
        </xdr:from>
        <xdr:to>
          <xdr:col>2</xdr:col>
          <xdr:colOff>504825</xdr:colOff>
          <xdr:row>36</xdr:row>
          <xdr:rowOff>38099</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35</xdr:row>
          <xdr:rowOff>104775</xdr:rowOff>
        </xdr:from>
        <xdr:to>
          <xdr:col>2</xdr:col>
          <xdr:colOff>504825</xdr:colOff>
          <xdr:row>37</xdr:row>
          <xdr:rowOff>28575</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34</xdr:row>
          <xdr:rowOff>94008</xdr:rowOff>
        </xdr:from>
        <xdr:to>
          <xdr:col>8</xdr:col>
          <xdr:colOff>438150</xdr:colOff>
          <xdr:row>36</xdr:row>
          <xdr:rowOff>36857</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35</xdr:row>
          <xdr:rowOff>101049</xdr:rowOff>
        </xdr:from>
        <xdr:to>
          <xdr:col>8</xdr:col>
          <xdr:colOff>438150</xdr:colOff>
          <xdr:row>37</xdr:row>
          <xdr:rowOff>43899</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xdr:colOff>
          <xdr:row>125</xdr:row>
          <xdr:rowOff>133350</xdr:rowOff>
        </xdr:from>
        <xdr:to>
          <xdr:col>15</xdr:col>
          <xdr:colOff>47625</xdr:colOff>
          <xdr:row>126</xdr:row>
          <xdr:rowOff>114300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C" sz="600" b="0" i="0" u="none" strike="noStrike" baseline="0">
                  <a:solidFill>
                    <a:srgbClr val="000000"/>
                  </a:solidFill>
                  <a:latin typeface="Times New Roman"/>
                  <a:cs typeface="Times New Roman"/>
                </a:rPr>
                <a:t>↑↑↑↑  AGREGAR FILA ANTERIOR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125</xdr:row>
          <xdr:rowOff>133350</xdr:rowOff>
        </xdr:from>
        <xdr:to>
          <xdr:col>18</xdr:col>
          <xdr:colOff>85725</xdr:colOff>
          <xdr:row>126</xdr:row>
          <xdr:rowOff>114300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C" sz="600" b="0" i="0" u="none" strike="noStrike" baseline="0">
                  <a:solidFill>
                    <a:srgbClr val="000000"/>
                  </a:solidFill>
                  <a:latin typeface="Times New Roman"/>
                  <a:cs typeface="Times New Roman"/>
                </a:rPr>
                <a:t>↑↑↑↑  BORRAR FILA ANTERIOR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16567</xdr:colOff>
          <xdr:row>143</xdr:row>
          <xdr:rowOff>138485</xdr:rowOff>
        </xdr:from>
        <xdr:to>
          <xdr:col>9</xdr:col>
          <xdr:colOff>331562</xdr:colOff>
          <xdr:row>144</xdr:row>
          <xdr:rowOff>283927</xdr:rowOff>
        </xdr:to>
        <xdr:grpSp>
          <xdr:nvGrpSpPr>
            <xdr:cNvPr id="5" name="Grupo 4">
              <a:extLst>
                <a:ext uri="{FF2B5EF4-FFF2-40B4-BE49-F238E27FC236}">
                  <a16:creationId xmlns:a16="http://schemas.microsoft.com/office/drawing/2014/main" id="{4FC89499-022A-D838-3A9E-6EA2289C6686}"/>
                </a:ext>
              </a:extLst>
            </xdr:cNvPr>
            <xdr:cNvGrpSpPr/>
          </xdr:nvGrpSpPr>
          <xdr:grpSpPr>
            <a:xfrm>
              <a:off x="3064567" y="24514202"/>
              <a:ext cx="3578343" cy="286247"/>
              <a:chOff x="3305650" y="22269256"/>
              <a:chExt cx="3186426" cy="242046"/>
            </a:xfrm>
          </xdr:grpSpPr>
          <xdr:sp macro="" textlink="">
            <xdr:nvSpPr>
              <xdr:cNvPr id="1111" name="Option 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3305650" y="22301752"/>
                <a:ext cx="390525" cy="2095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sp macro="" textlink="">
            <xdr:nvSpPr>
              <xdr:cNvPr id="1112" name="Option 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4641890" y="22292227"/>
                <a:ext cx="438150" cy="2095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sp macro="" textlink="">
            <xdr:nvSpPr>
              <xdr:cNvPr id="1113" name="Option 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6032806" y="22269256"/>
                <a:ext cx="459270" cy="2190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grpSp>
        <xdr:clientData/>
      </xdr:twoCellAnchor>
    </mc:Choice>
    <mc:Fallback/>
  </mc:AlternateContent>
  <xdr:twoCellAnchor>
    <xdr:from>
      <xdr:col>0</xdr:col>
      <xdr:colOff>447675</xdr:colOff>
      <xdr:row>153</xdr:row>
      <xdr:rowOff>0</xdr:rowOff>
    </xdr:from>
    <xdr:to>
      <xdr:col>5</xdr:col>
      <xdr:colOff>504825</xdr:colOff>
      <xdr:row>153</xdr:row>
      <xdr:rowOff>0</xdr:rowOff>
    </xdr:to>
    <xdr:sp macro="" textlink="">
      <xdr:nvSpPr>
        <xdr:cNvPr id="12" name="Line 20">
          <a:extLst>
            <a:ext uri="{FF2B5EF4-FFF2-40B4-BE49-F238E27FC236}">
              <a16:creationId xmlns:a16="http://schemas.microsoft.com/office/drawing/2014/main" id="{00000000-0008-0000-0000-00000C000000}"/>
            </a:ext>
          </a:extLst>
        </xdr:cNvPr>
        <xdr:cNvSpPr>
          <a:spLocks noChangeShapeType="1"/>
        </xdr:cNvSpPr>
      </xdr:nvSpPr>
      <xdr:spPr bwMode="auto">
        <a:xfrm>
          <a:off x="447675" y="8905875"/>
          <a:ext cx="2752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590550</xdr:colOff>
          <xdr:row>49</xdr:row>
          <xdr:rowOff>57150</xdr:rowOff>
        </xdr:from>
        <xdr:to>
          <xdr:col>2</xdr:col>
          <xdr:colOff>285750</xdr:colOff>
          <xdr:row>50</xdr:row>
          <xdr:rowOff>19050</xdr:rowOff>
        </xdr:to>
        <xdr:sp macro="" textlink="">
          <xdr:nvSpPr>
            <xdr:cNvPr id="1145" name="Option 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49</xdr:row>
          <xdr:rowOff>39342</xdr:rowOff>
        </xdr:from>
        <xdr:to>
          <xdr:col>4</xdr:col>
          <xdr:colOff>472109</xdr:colOff>
          <xdr:row>50</xdr:row>
          <xdr:rowOff>229842</xdr:rowOff>
        </xdr:to>
        <xdr:sp macro="" textlink="">
          <xdr:nvSpPr>
            <xdr:cNvPr id="1146" name="Group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50</xdr:row>
          <xdr:rowOff>19050</xdr:rowOff>
        </xdr:from>
        <xdr:to>
          <xdr:col>2</xdr:col>
          <xdr:colOff>276225</xdr:colOff>
          <xdr:row>50</xdr:row>
          <xdr:rowOff>219075</xdr:rowOff>
        </xdr:to>
        <xdr:sp macro="" textlink="">
          <xdr:nvSpPr>
            <xdr:cNvPr id="1147" name="Option 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82825</xdr:colOff>
          <xdr:row>49</xdr:row>
          <xdr:rowOff>47625</xdr:rowOff>
        </xdr:from>
        <xdr:to>
          <xdr:col>6</xdr:col>
          <xdr:colOff>405848</xdr:colOff>
          <xdr:row>50</xdr:row>
          <xdr:rowOff>215348</xdr:rowOff>
        </xdr:to>
        <xdr:sp macro="" textlink="">
          <xdr:nvSpPr>
            <xdr:cNvPr id="1148" name="Group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73308</xdr:colOff>
          <xdr:row>49</xdr:row>
          <xdr:rowOff>53835</xdr:rowOff>
        </xdr:from>
        <xdr:to>
          <xdr:col>6</xdr:col>
          <xdr:colOff>389704</xdr:colOff>
          <xdr:row>50</xdr:row>
          <xdr:rowOff>6210</xdr:rowOff>
        </xdr:to>
        <xdr:sp macro="" textlink="">
          <xdr:nvSpPr>
            <xdr:cNvPr id="1149" name="Option 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66261</xdr:colOff>
          <xdr:row>49</xdr:row>
          <xdr:rowOff>49695</xdr:rowOff>
        </xdr:from>
        <xdr:to>
          <xdr:col>8</xdr:col>
          <xdr:colOff>397565</xdr:colOff>
          <xdr:row>50</xdr:row>
          <xdr:rowOff>223631</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35204</xdr:colOff>
          <xdr:row>49</xdr:row>
          <xdr:rowOff>34785</xdr:rowOff>
        </xdr:from>
        <xdr:to>
          <xdr:col>8</xdr:col>
          <xdr:colOff>332549</xdr:colOff>
          <xdr:row>49</xdr:row>
          <xdr:rowOff>245163</xdr:rowOff>
        </xdr:to>
        <xdr:sp macro="" textlink="">
          <xdr:nvSpPr>
            <xdr:cNvPr id="1151" name="Option 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35198</xdr:colOff>
          <xdr:row>49</xdr:row>
          <xdr:rowOff>241437</xdr:rowOff>
        </xdr:from>
        <xdr:to>
          <xdr:col>8</xdr:col>
          <xdr:colOff>332543</xdr:colOff>
          <xdr:row>50</xdr:row>
          <xdr:rowOff>231084</xdr:rowOff>
        </xdr:to>
        <xdr:sp macro="" textlink="">
          <xdr:nvSpPr>
            <xdr:cNvPr id="1152" name="Option 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80344</xdr:colOff>
          <xdr:row>50</xdr:row>
          <xdr:rowOff>412</xdr:rowOff>
        </xdr:from>
        <xdr:to>
          <xdr:col>6</xdr:col>
          <xdr:colOff>396740</xdr:colOff>
          <xdr:row>50</xdr:row>
          <xdr:rowOff>210790</xdr:rowOff>
        </xdr:to>
        <xdr:sp macro="" textlink="">
          <xdr:nvSpPr>
            <xdr:cNvPr id="1153" name="Option 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404187</xdr:colOff>
          <xdr:row>50</xdr:row>
          <xdr:rowOff>20292</xdr:rowOff>
        </xdr:from>
        <xdr:to>
          <xdr:col>4</xdr:col>
          <xdr:colOff>89861</xdr:colOff>
          <xdr:row>50</xdr:row>
          <xdr:rowOff>229842</xdr:rowOff>
        </xdr:to>
        <xdr:sp macro="" textlink="">
          <xdr:nvSpPr>
            <xdr:cNvPr id="1154" name="Option 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9:O157"/>
  <sheetViews>
    <sheetView showGridLines="0" tabSelected="1" topLeftCell="A133" zoomScale="115" zoomScaleNormal="115" workbookViewId="0">
      <selection activeCell="O150" sqref="O150"/>
    </sheetView>
  </sheetViews>
  <sheetFormatPr baseColWidth="10" defaultColWidth="9.33203125" defaultRowHeight="11.25" x14ac:dyDescent="0.2"/>
  <cols>
    <col min="1" max="1" width="19.83203125" style="1" customWidth="1"/>
    <col min="2" max="2" width="10.83203125" style="1" customWidth="1"/>
    <col min="3" max="3" width="11.6640625" style="1" customWidth="1"/>
    <col min="4" max="6" width="10.83203125" style="1" customWidth="1"/>
    <col min="7" max="7" width="13.6640625" style="1" bestFit="1" customWidth="1"/>
    <col min="8" max="12" width="10.83203125" style="1" customWidth="1"/>
    <col min="13" max="16384" width="9.33203125" style="1"/>
  </cols>
  <sheetData>
    <row r="9" spans="1:15" ht="11.25" customHeight="1" x14ac:dyDescent="0.2">
      <c r="A9" s="237" t="s">
        <v>8</v>
      </c>
      <c r="B9" s="237"/>
      <c r="C9" s="238">
        <v>44895</v>
      </c>
      <c r="D9" s="238"/>
      <c r="E9" s="235">
        <v>44896</v>
      </c>
      <c r="F9" s="235"/>
      <c r="G9" s="236" t="s">
        <v>9</v>
      </c>
      <c r="H9" s="236"/>
      <c r="I9" s="238">
        <v>44913</v>
      </c>
      <c r="J9" s="238"/>
      <c r="K9" s="238"/>
      <c r="L9" s="238"/>
    </row>
    <row r="11" spans="1:15" ht="11.25" customHeight="1" x14ac:dyDescent="0.2">
      <c r="A11" s="225" t="s">
        <v>10</v>
      </c>
      <c r="B11" s="226"/>
      <c r="C11" s="226"/>
      <c r="D11" s="226"/>
      <c r="E11" s="226"/>
      <c r="F11" s="226"/>
      <c r="G11" s="226"/>
      <c r="H11" s="226"/>
      <c r="I11" s="226"/>
      <c r="J11" s="226"/>
      <c r="K11" s="226"/>
      <c r="L11" s="227"/>
    </row>
    <row r="12" spans="1:15" ht="11.25" customHeight="1" x14ac:dyDescent="0.2">
      <c r="A12" s="250" t="s">
        <v>12</v>
      </c>
      <c r="B12" s="121"/>
      <c r="C12" s="121"/>
      <c r="D12" s="121"/>
      <c r="E12" s="121"/>
      <c r="F12" s="121"/>
      <c r="G12" s="121"/>
      <c r="H12" s="121"/>
      <c r="I12" s="121"/>
      <c r="J12" s="121"/>
      <c r="K12" s="121"/>
      <c r="L12" s="121"/>
    </row>
    <row r="13" spans="1:15" ht="45" customHeight="1" x14ac:dyDescent="0.2">
      <c r="A13" s="169" t="s">
        <v>11</v>
      </c>
      <c r="B13" s="138"/>
      <c r="C13" s="138"/>
      <c r="D13" s="138"/>
      <c r="E13" s="138"/>
      <c r="F13" s="138"/>
      <c r="G13" s="138"/>
      <c r="H13" s="138"/>
      <c r="I13" s="138"/>
      <c r="J13" s="138"/>
      <c r="K13" s="138"/>
      <c r="L13" s="170"/>
      <c r="O13" s="12"/>
    </row>
    <row r="14" spans="1:15" s="2" customFormat="1" x14ac:dyDescent="0.2">
      <c r="A14" s="218" t="s">
        <v>13</v>
      </c>
      <c r="B14" s="219"/>
      <c r="C14" s="219"/>
      <c r="D14" s="219"/>
      <c r="E14" s="219"/>
      <c r="F14" s="219"/>
      <c r="G14" s="219"/>
      <c r="H14" s="219"/>
      <c r="I14" s="219"/>
      <c r="J14" s="219"/>
      <c r="K14" s="219"/>
      <c r="L14" s="220"/>
    </row>
    <row r="15" spans="1:15" ht="22.5" customHeight="1" x14ac:dyDescent="0.2">
      <c r="A15" s="230" t="s">
        <v>14</v>
      </c>
      <c r="B15" s="228"/>
      <c r="C15" s="7"/>
      <c r="D15" s="228" t="s">
        <v>15</v>
      </c>
      <c r="E15" s="228"/>
      <c r="F15" s="9"/>
      <c r="G15" s="229" t="s">
        <v>16</v>
      </c>
      <c r="H15" s="229"/>
      <c r="I15" s="7"/>
      <c r="J15" s="228" t="s">
        <v>17</v>
      </c>
      <c r="K15" s="228"/>
      <c r="L15" s="8"/>
    </row>
    <row r="16" spans="1:15" ht="22.5" customHeight="1" x14ac:dyDescent="0.2">
      <c r="A16" s="230" t="s">
        <v>18</v>
      </c>
      <c r="B16" s="228"/>
      <c r="C16" s="11" t="s">
        <v>19</v>
      </c>
      <c r="D16" s="232"/>
      <c r="E16" s="232"/>
      <c r="F16" s="232"/>
      <c r="G16" s="231" t="s">
        <v>7</v>
      </c>
      <c r="H16" s="231"/>
      <c r="I16" s="233" t="s">
        <v>27</v>
      </c>
      <c r="J16" s="233"/>
      <c r="K16" s="233"/>
      <c r="L16" s="234"/>
    </row>
    <row r="17" spans="1:12" ht="11.25" customHeight="1" x14ac:dyDescent="0.2">
      <c r="A17" s="250" t="s">
        <v>20</v>
      </c>
      <c r="B17" s="121"/>
      <c r="C17" s="121"/>
      <c r="D17" s="121"/>
      <c r="E17" s="121"/>
      <c r="F17" s="121"/>
      <c r="G17" s="121"/>
      <c r="H17" s="121"/>
      <c r="I17" s="121"/>
      <c r="J17" s="122"/>
      <c r="K17" s="122"/>
      <c r="L17" s="122"/>
    </row>
    <row r="18" spans="1:12" s="2" customFormat="1" ht="15.95" customHeight="1" x14ac:dyDescent="0.2">
      <c r="A18" s="270" t="s">
        <v>21</v>
      </c>
      <c r="B18" s="271"/>
      <c r="C18" s="7"/>
      <c r="D18" s="228" t="s">
        <v>23</v>
      </c>
      <c r="E18" s="228"/>
      <c r="F18" s="9"/>
      <c r="G18" s="272" t="s">
        <v>24</v>
      </c>
      <c r="H18" s="272"/>
      <c r="I18" s="7"/>
      <c r="J18" s="211" t="s">
        <v>25</v>
      </c>
      <c r="K18" s="211"/>
      <c r="L18" s="211"/>
    </row>
    <row r="19" spans="1:12" x14ac:dyDescent="0.2">
      <c r="A19" s="273" t="s">
        <v>22</v>
      </c>
      <c r="B19" s="274"/>
      <c r="C19" s="274"/>
      <c r="D19" s="274"/>
      <c r="E19" s="274"/>
      <c r="F19" s="274"/>
      <c r="G19" s="274"/>
      <c r="H19" s="274"/>
      <c r="I19" s="275"/>
      <c r="J19" s="208" t="s">
        <v>26</v>
      </c>
      <c r="K19" s="209"/>
      <c r="L19" s="210"/>
    </row>
    <row r="20" spans="1:12" ht="12.75" customHeight="1" x14ac:dyDescent="0.2">
      <c r="A20" s="211" t="s">
        <v>28</v>
      </c>
      <c r="B20" s="211"/>
      <c r="C20" s="255" t="s">
        <v>29</v>
      </c>
      <c r="D20" s="256"/>
      <c r="E20" s="256"/>
      <c r="F20" s="257"/>
      <c r="G20" s="264" t="s">
        <v>32</v>
      </c>
      <c r="H20" s="265"/>
      <c r="I20" s="266"/>
      <c r="J20" s="255" t="s">
        <v>31</v>
      </c>
      <c r="K20" s="256"/>
      <c r="L20" s="257"/>
    </row>
    <row r="21" spans="1:12" ht="12.75" customHeight="1" x14ac:dyDescent="0.2">
      <c r="A21" s="254">
        <v>26379</v>
      </c>
      <c r="B21" s="254"/>
      <c r="C21" s="258" t="s">
        <v>30</v>
      </c>
      <c r="D21" s="259"/>
      <c r="E21" s="259"/>
      <c r="F21" s="260"/>
      <c r="G21" s="267" t="s">
        <v>33</v>
      </c>
      <c r="H21" s="268"/>
      <c r="I21" s="269"/>
      <c r="J21" s="261">
        <v>26379</v>
      </c>
      <c r="K21" s="262"/>
      <c r="L21" s="263"/>
    </row>
    <row r="22" spans="1:12" s="2" customFormat="1" ht="11.25" customHeight="1" x14ac:dyDescent="0.2">
      <c r="A22" s="246" t="s">
        <v>34</v>
      </c>
      <c r="B22" s="246"/>
      <c r="C22" s="247"/>
      <c r="D22" s="248"/>
      <c r="E22" s="248"/>
      <c r="F22" s="248"/>
      <c r="G22" s="248"/>
      <c r="H22" s="248"/>
      <c r="I22" s="248"/>
      <c r="J22" s="248"/>
      <c r="K22" s="248"/>
      <c r="L22" s="249"/>
    </row>
    <row r="23" spans="1:12" ht="11.25" customHeight="1" x14ac:dyDescent="0.2">
      <c r="A23" s="218" t="s">
        <v>35</v>
      </c>
      <c r="B23" s="219"/>
      <c r="C23" s="219"/>
      <c r="D23" s="219"/>
      <c r="E23" s="219"/>
      <c r="F23" s="219"/>
      <c r="G23" s="219"/>
      <c r="H23" s="219"/>
      <c r="I23" s="219"/>
      <c r="J23" s="219"/>
      <c r="K23" s="219"/>
      <c r="L23" s="220"/>
    </row>
    <row r="24" spans="1:12" ht="45" customHeight="1" x14ac:dyDescent="0.2">
      <c r="A24" s="291" t="s">
        <v>36</v>
      </c>
      <c r="B24" s="236"/>
      <c r="C24" s="236"/>
      <c r="D24" s="236"/>
      <c r="E24" s="236"/>
      <c r="F24" s="236"/>
      <c r="G24" s="236"/>
      <c r="H24" s="236"/>
      <c r="I24" s="236"/>
      <c r="J24" s="236"/>
      <c r="K24" s="236"/>
      <c r="L24" s="292"/>
    </row>
    <row r="25" spans="1:12" ht="11.25" customHeight="1" x14ac:dyDescent="0.2">
      <c r="A25" s="174" t="s">
        <v>37</v>
      </c>
      <c r="B25" s="175"/>
      <c r="C25" s="175"/>
      <c r="D25" s="175"/>
      <c r="E25" s="175"/>
      <c r="F25" s="175"/>
      <c r="G25" s="175"/>
      <c r="H25" s="175"/>
      <c r="I25" s="175"/>
      <c r="J25" s="175"/>
      <c r="K25" s="175"/>
      <c r="L25" s="175"/>
    </row>
    <row r="26" spans="1:12" ht="11.25" customHeight="1" x14ac:dyDescent="0.2">
      <c r="A26" s="218" t="s">
        <v>38</v>
      </c>
      <c r="B26" s="219"/>
      <c r="C26" s="219"/>
      <c r="D26" s="219"/>
      <c r="E26" s="219"/>
      <c r="F26" s="219"/>
      <c r="G26" s="219"/>
      <c r="H26" s="219"/>
      <c r="I26" s="219"/>
      <c r="J26" s="219"/>
      <c r="K26" s="219"/>
      <c r="L26" s="220"/>
    </row>
    <row r="27" spans="1:12" ht="11.25" customHeight="1" x14ac:dyDescent="0.2">
      <c r="A27" s="14" t="s">
        <v>6</v>
      </c>
      <c r="B27" s="221" t="s">
        <v>42</v>
      </c>
      <c r="C27" s="221"/>
      <c r="D27" s="221"/>
      <c r="E27" s="221"/>
      <c r="F27" s="222"/>
      <c r="G27" s="13" t="s">
        <v>39</v>
      </c>
      <c r="H27" s="223" t="s">
        <v>45</v>
      </c>
      <c r="I27" s="223"/>
      <c r="J27" s="223"/>
      <c r="K27" s="223"/>
      <c r="L27" s="224"/>
    </row>
    <row r="28" spans="1:12" ht="11.25" customHeight="1" x14ac:dyDescent="0.2">
      <c r="A28" s="14" t="s">
        <v>40</v>
      </c>
      <c r="B28" s="212" t="s">
        <v>44</v>
      </c>
      <c r="C28" s="212"/>
      <c r="D28" s="212"/>
      <c r="E28" s="212"/>
      <c r="F28" s="212"/>
      <c r="G28" s="212"/>
      <c r="H28" s="212"/>
      <c r="I28" s="212"/>
      <c r="J28" s="212"/>
      <c r="K28" s="212"/>
      <c r="L28" s="213"/>
    </row>
    <row r="29" spans="1:12" ht="11.25" customHeight="1" x14ac:dyDescent="0.2">
      <c r="A29" s="15" t="s">
        <v>3</v>
      </c>
      <c r="B29" s="214" t="s">
        <v>43</v>
      </c>
      <c r="C29" s="215"/>
      <c r="D29" s="15" t="s">
        <v>1</v>
      </c>
      <c r="E29" s="216" t="s">
        <v>42</v>
      </c>
      <c r="F29" s="217"/>
      <c r="G29" s="15" t="s">
        <v>2</v>
      </c>
      <c r="H29" s="216" t="s">
        <v>42</v>
      </c>
      <c r="I29" s="217"/>
      <c r="J29" s="15" t="s">
        <v>0</v>
      </c>
      <c r="K29" s="216" t="s">
        <v>41</v>
      </c>
      <c r="L29" s="217"/>
    </row>
    <row r="30" spans="1:12" ht="11.25" customHeight="1" x14ac:dyDescent="0.2">
      <c r="A30" s="174" t="s">
        <v>46</v>
      </c>
      <c r="B30" s="175"/>
      <c r="C30" s="175"/>
      <c r="D30" s="175"/>
      <c r="E30" s="175"/>
      <c r="F30" s="175"/>
      <c r="G30" s="175"/>
      <c r="H30" s="175"/>
      <c r="I30" s="175"/>
      <c r="J30" s="175"/>
      <c r="K30" s="175"/>
      <c r="L30" s="175"/>
    </row>
    <row r="31" spans="1:12" ht="11.25" customHeight="1" x14ac:dyDescent="0.2">
      <c r="A31" s="218" t="s">
        <v>47</v>
      </c>
      <c r="B31" s="219"/>
      <c r="C31" s="219"/>
      <c r="D31" s="219"/>
      <c r="E31" s="219"/>
      <c r="F31" s="219"/>
      <c r="G31" s="219"/>
      <c r="H31" s="219"/>
      <c r="I31" s="219"/>
      <c r="J31" s="219"/>
      <c r="K31" s="219"/>
      <c r="L31" s="220"/>
    </row>
    <row r="32" spans="1:12" x14ac:dyDescent="0.2">
      <c r="A32" s="252"/>
      <c r="B32" s="253"/>
      <c r="C32" s="253"/>
      <c r="D32" s="197" t="s">
        <v>48</v>
      </c>
      <c r="E32" s="197"/>
      <c r="F32" s="17"/>
      <c r="G32" s="197"/>
      <c r="H32" s="197"/>
      <c r="I32" s="197"/>
      <c r="J32" s="197" t="s">
        <v>48</v>
      </c>
      <c r="K32" s="197"/>
      <c r="L32" s="18"/>
    </row>
    <row r="33" spans="1:12" ht="11.25" customHeight="1" x14ac:dyDescent="0.2">
      <c r="A33" s="284" t="s">
        <v>49</v>
      </c>
      <c r="B33" s="285"/>
      <c r="C33" s="283" t="b">
        <v>1</v>
      </c>
      <c r="D33" s="198"/>
      <c r="E33" s="198"/>
      <c r="F33" s="20"/>
      <c r="G33" s="282" t="s">
        <v>52</v>
      </c>
      <c r="H33" s="282"/>
      <c r="I33" s="281" t="b">
        <v>0</v>
      </c>
      <c r="J33" s="198"/>
      <c r="K33" s="198"/>
      <c r="L33" s="16"/>
    </row>
    <row r="34" spans="1:12" x14ac:dyDescent="0.2">
      <c r="A34" s="284" t="s">
        <v>50</v>
      </c>
      <c r="B34" s="285"/>
      <c r="C34" s="287" t="b">
        <v>0</v>
      </c>
      <c r="D34" s="199"/>
      <c r="E34" s="199"/>
      <c r="F34" s="20"/>
      <c r="G34" s="282" t="s">
        <v>53</v>
      </c>
      <c r="H34" s="282"/>
      <c r="I34" s="281" t="b">
        <v>0</v>
      </c>
      <c r="J34" s="198"/>
      <c r="K34" s="198"/>
      <c r="L34" s="16"/>
    </row>
    <row r="35" spans="1:12" x14ac:dyDescent="0.2">
      <c r="A35" s="286" t="s">
        <v>51</v>
      </c>
      <c r="B35" s="285"/>
      <c r="C35" s="287" t="b">
        <v>0</v>
      </c>
      <c r="D35" s="199"/>
      <c r="E35" s="199"/>
      <c r="F35" s="20"/>
      <c r="G35" s="282" t="s">
        <v>56</v>
      </c>
      <c r="H35" s="282"/>
      <c r="I35" s="281" t="b">
        <v>1</v>
      </c>
      <c r="J35" s="198"/>
      <c r="K35" s="198"/>
      <c r="L35" s="16"/>
    </row>
    <row r="36" spans="1:12" ht="11.25" customHeight="1" x14ac:dyDescent="0.2">
      <c r="A36" s="286" t="s">
        <v>54</v>
      </c>
      <c r="B36" s="285"/>
      <c r="C36" s="283" t="b">
        <v>1</v>
      </c>
      <c r="D36" s="199"/>
      <c r="E36" s="199"/>
      <c r="F36" s="20"/>
      <c r="G36" s="282" t="s">
        <v>57</v>
      </c>
      <c r="H36" s="282"/>
      <c r="I36" s="281" t="b">
        <v>1</v>
      </c>
      <c r="J36" s="19"/>
      <c r="K36" s="19"/>
      <c r="L36" s="16"/>
    </row>
    <row r="37" spans="1:12" ht="11.25" customHeight="1" x14ac:dyDescent="0.2">
      <c r="A37" s="286" t="s">
        <v>55</v>
      </c>
      <c r="B37" s="285"/>
      <c r="C37" s="283" t="b">
        <v>1</v>
      </c>
      <c r="D37" s="199"/>
      <c r="E37" s="199"/>
      <c r="F37" s="20"/>
      <c r="G37" s="282" t="s">
        <v>58</v>
      </c>
      <c r="H37" s="282"/>
      <c r="I37" s="281" t="b">
        <v>1</v>
      </c>
      <c r="J37" s="198"/>
      <c r="K37" s="198"/>
      <c r="L37" s="16"/>
    </row>
    <row r="38" spans="1:12" ht="11.25" customHeight="1" x14ac:dyDescent="0.2">
      <c r="A38" s="243"/>
      <c r="B38" s="244"/>
      <c r="C38" s="244"/>
      <c r="D38" s="244"/>
      <c r="E38" s="244"/>
      <c r="F38" s="244"/>
      <c r="G38" s="244"/>
      <c r="H38" s="244"/>
      <c r="I38" s="244"/>
      <c r="J38" s="244"/>
      <c r="K38" s="244"/>
      <c r="L38" s="245"/>
    </row>
    <row r="39" spans="1:12" ht="11.25" customHeight="1" x14ac:dyDescent="0.2">
      <c r="A39" s="174" t="s">
        <v>59</v>
      </c>
      <c r="B39" s="175"/>
      <c r="C39" s="175"/>
      <c r="D39" s="175"/>
      <c r="E39" s="175"/>
      <c r="F39" s="175"/>
      <c r="G39" s="175"/>
      <c r="H39" s="175"/>
      <c r="I39" s="175"/>
      <c r="J39" s="175"/>
      <c r="K39" s="175"/>
      <c r="L39" s="175"/>
    </row>
    <row r="40" spans="1:12" ht="11.25" customHeight="1" x14ac:dyDescent="0.2">
      <c r="A40" s="242" t="s">
        <v>60</v>
      </c>
      <c r="B40" s="121"/>
      <c r="C40" s="121"/>
      <c r="D40" s="121"/>
      <c r="E40" s="121"/>
      <c r="F40" s="121"/>
      <c r="G40" s="121"/>
      <c r="H40" s="121"/>
      <c r="I40" s="121"/>
      <c r="J40" s="121"/>
      <c r="K40" s="121"/>
      <c r="L40" s="121"/>
    </row>
    <row r="41" spans="1:12" ht="45" customHeight="1" x14ac:dyDescent="0.2">
      <c r="A41" s="251" t="s">
        <v>61</v>
      </c>
      <c r="B41" s="251"/>
      <c r="C41" s="251"/>
      <c r="D41" s="251"/>
      <c r="E41" s="251"/>
      <c r="F41" s="251"/>
      <c r="G41" s="251"/>
      <c r="H41" s="251"/>
      <c r="I41" s="251"/>
      <c r="J41" s="251"/>
      <c r="K41" s="251"/>
      <c r="L41" s="251"/>
    </row>
    <row r="42" spans="1:12" ht="11.25" customHeight="1" x14ac:dyDescent="0.2">
      <c r="A42" s="121" t="s">
        <v>62</v>
      </c>
      <c r="B42" s="121"/>
      <c r="C42" s="121"/>
      <c r="D42" s="121"/>
      <c r="E42" s="121"/>
      <c r="F42" s="121"/>
      <c r="G42" s="121"/>
      <c r="H42" s="121"/>
      <c r="I42" s="121"/>
      <c r="J42" s="121"/>
      <c r="K42" s="121"/>
      <c r="L42" s="121"/>
    </row>
    <row r="43" spans="1:12" ht="45" customHeight="1" x14ac:dyDescent="0.2">
      <c r="A43" s="239" t="s">
        <v>63</v>
      </c>
      <c r="B43" s="240"/>
      <c r="C43" s="240"/>
      <c r="D43" s="240"/>
      <c r="E43" s="240"/>
      <c r="F43" s="240"/>
      <c r="G43" s="240"/>
      <c r="H43" s="240"/>
      <c r="I43" s="240"/>
      <c r="J43" s="240"/>
      <c r="K43" s="240"/>
      <c r="L43" s="241"/>
    </row>
    <row r="44" spans="1:12" ht="11.25" customHeight="1" x14ac:dyDescent="0.2">
      <c r="A44" s="242" t="s">
        <v>64</v>
      </c>
      <c r="B44" s="121"/>
      <c r="C44" s="121"/>
      <c r="D44" s="121"/>
      <c r="E44" s="121"/>
      <c r="F44" s="121"/>
      <c r="G44" s="121"/>
      <c r="H44" s="121"/>
      <c r="I44" s="121"/>
      <c r="J44" s="121"/>
      <c r="K44" s="121"/>
      <c r="L44" s="121"/>
    </row>
    <row r="45" spans="1:12" ht="45" customHeight="1" x14ac:dyDescent="0.2">
      <c r="A45" s="193" t="s">
        <v>65</v>
      </c>
      <c r="B45" s="194"/>
      <c r="C45" s="194"/>
      <c r="D45" s="194"/>
      <c r="E45" s="194"/>
      <c r="F45" s="194"/>
      <c r="G45" s="194"/>
      <c r="H45" s="194"/>
      <c r="I45" s="194"/>
      <c r="J45" s="194"/>
      <c r="K45" s="194"/>
      <c r="L45" s="195"/>
    </row>
    <row r="46" spans="1:12" ht="11.25" customHeight="1" x14ac:dyDescent="0.2">
      <c r="A46" s="242" t="s">
        <v>66</v>
      </c>
      <c r="B46" s="121"/>
      <c r="C46" s="121"/>
      <c r="D46" s="121"/>
      <c r="E46" s="121"/>
      <c r="F46" s="121"/>
      <c r="G46" s="121"/>
      <c r="H46" s="121"/>
      <c r="I46" s="121"/>
      <c r="J46" s="121"/>
      <c r="K46" s="121"/>
      <c r="L46" s="121"/>
    </row>
    <row r="47" spans="1:12" ht="45" customHeight="1" x14ac:dyDescent="0.2">
      <c r="A47" s="193" t="s">
        <v>67</v>
      </c>
      <c r="B47" s="194"/>
      <c r="C47" s="194"/>
      <c r="D47" s="194"/>
      <c r="E47" s="194"/>
      <c r="F47" s="194"/>
      <c r="G47" s="194"/>
      <c r="H47" s="194"/>
      <c r="I47" s="194"/>
      <c r="J47" s="194"/>
      <c r="K47" s="194"/>
      <c r="L47" s="195"/>
    </row>
    <row r="48" spans="1:12" ht="11.25" customHeight="1" x14ac:dyDescent="0.2">
      <c r="A48" s="174" t="s">
        <v>68</v>
      </c>
      <c r="B48" s="175"/>
      <c r="C48" s="175"/>
      <c r="D48" s="175"/>
      <c r="E48" s="175"/>
      <c r="F48" s="175"/>
      <c r="G48" s="175"/>
      <c r="H48" s="175"/>
      <c r="I48" s="175"/>
      <c r="J48" s="175"/>
      <c r="K48" s="175"/>
      <c r="L48" s="175"/>
    </row>
    <row r="49" spans="1:12" ht="11.25" customHeight="1" x14ac:dyDescent="0.2">
      <c r="A49" s="202" t="s">
        <v>69</v>
      </c>
      <c r="B49" s="203"/>
      <c r="C49" s="203"/>
      <c r="D49" s="203"/>
      <c r="E49" s="203"/>
      <c r="F49" s="203"/>
      <c r="G49" s="204"/>
      <c r="H49" s="206" t="s">
        <v>77</v>
      </c>
      <c r="I49" s="207"/>
      <c r="J49" s="205" t="s">
        <v>188</v>
      </c>
      <c r="K49" s="205"/>
      <c r="L49" s="205"/>
    </row>
    <row r="50" spans="1:12" ht="20.100000000000001" customHeight="1" x14ac:dyDescent="0.2">
      <c r="A50" s="200" t="s">
        <v>70</v>
      </c>
      <c r="B50" s="201"/>
      <c r="C50" s="188"/>
      <c r="D50" s="188"/>
      <c r="E50" s="280">
        <v>3</v>
      </c>
      <c r="F50" s="278" t="s">
        <v>75</v>
      </c>
      <c r="G50" s="279">
        <v>1</v>
      </c>
      <c r="H50" s="64" t="s">
        <v>78</v>
      </c>
      <c r="I50" s="276">
        <v>1</v>
      </c>
      <c r="J50" s="196" t="s">
        <v>80</v>
      </c>
      <c r="K50" s="196"/>
      <c r="L50" s="66" t="s">
        <v>82</v>
      </c>
    </row>
    <row r="51" spans="1:12" ht="20.100000000000001" customHeight="1" x14ac:dyDescent="0.2">
      <c r="A51" s="191" t="s">
        <v>71</v>
      </c>
      <c r="B51" s="192"/>
      <c r="C51" s="187" t="s">
        <v>72</v>
      </c>
      <c r="D51" s="187"/>
      <c r="E51" s="67" t="s">
        <v>74</v>
      </c>
      <c r="F51" s="277" t="s">
        <v>76</v>
      </c>
      <c r="G51" s="67"/>
      <c r="H51" s="65" t="s">
        <v>79</v>
      </c>
      <c r="I51" s="22"/>
      <c r="J51" s="190" t="s">
        <v>81</v>
      </c>
      <c r="K51" s="190"/>
      <c r="L51" s="66"/>
    </row>
    <row r="52" spans="1:12" ht="11.25" customHeight="1" x14ac:dyDescent="0.2">
      <c r="A52" s="189" t="s">
        <v>83</v>
      </c>
      <c r="B52" s="122"/>
      <c r="C52" s="122"/>
      <c r="D52" s="122"/>
      <c r="E52" s="122"/>
      <c r="F52" s="122"/>
      <c r="G52" s="122"/>
      <c r="H52" s="122"/>
      <c r="I52" s="122"/>
      <c r="J52" s="122"/>
      <c r="K52" s="122"/>
      <c r="L52" s="122"/>
    </row>
    <row r="53" spans="1:12" ht="11.25" customHeight="1" x14ac:dyDescent="0.2">
      <c r="A53" s="186"/>
      <c r="B53" s="186"/>
      <c r="C53" s="186"/>
      <c r="D53" s="186"/>
      <c r="E53" s="186"/>
      <c r="F53" s="186"/>
      <c r="G53" s="186"/>
      <c r="H53" s="186"/>
      <c r="I53" s="186"/>
      <c r="J53" s="184" t="s">
        <v>85</v>
      </c>
      <c r="K53" s="184"/>
      <c r="L53" s="184"/>
    </row>
    <row r="54" spans="1:12" ht="12.75" customHeight="1" x14ac:dyDescent="0.2">
      <c r="A54" s="24" t="s">
        <v>84</v>
      </c>
      <c r="B54" s="183" t="s">
        <v>86</v>
      </c>
      <c r="C54" s="183"/>
      <c r="D54" s="183"/>
      <c r="E54" s="183"/>
      <c r="F54" s="183"/>
      <c r="G54" s="183"/>
      <c r="H54" s="183"/>
      <c r="I54" s="183"/>
      <c r="J54" s="184">
        <v>262</v>
      </c>
      <c r="K54" s="184"/>
      <c r="L54" s="184"/>
    </row>
    <row r="55" spans="1:12" ht="11.25" customHeight="1" x14ac:dyDescent="0.2">
      <c r="A55" s="24" t="s">
        <v>88</v>
      </c>
      <c r="B55" s="183" t="s">
        <v>87</v>
      </c>
      <c r="C55" s="183"/>
      <c r="D55" s="183"/>
      <c r="E55" s="183"/>
      <c r="F55" s="183"/>
      <c r="G55" s="183"/>
      <c r="H55" s="183"/>
      <c r="I55" s="183"/>
      <c r="J55" s="184">
        <v>362</v>
      </c>
      <c r="K55" s="184"/>
      <c r="L55" s="184"/>
    </row>
    <row r="56" spans="1:12" ht="11.25" customHeight="1" x14ac:dyDescent="0.2">
      <c r="A56" s="24" t="s">
        <v>89</v>
      </c>
      <c r="B56" s="183" t="s">
        <v>90</v>
      </c>
      <c r="C56" s="183"/>
      <c r="D56" s="183"/>
      <c r="E56" s="183"/>
      <c r="F56" s="183"/>
      <c r="G56" s="183"/>
      <c r="H56" s="183"/>
      <c r="I56" s="183"/>
      <c r="J56" s="184">
        <v>674</v>
      </c>
      <c r="K56" s="184"/>
      <c r="L56" s="184"/>
    </row>
    <row r="57" spans="1:12" x14ac:dyDescent="0.2">
      <c r="A57" s="23" t="s">
        <v>91</v>
      </c>
      <c r="B57" s="183" t="s">
        <v>104</v>
      </c>
      <c r="C57" s="183"/>
      <c r="D57" s="183"/>
      <c r="E57" s="183"/>
      <c r="F57" s="183"/>
      <c r="G57" s="183"/>
      <c r="H57" s="183"/>
      <c r="I57" s="183"/>
      <c r="J57" s="184">
        <v>260</v>
      </c>
      <c r="K57" s="184"/>
      <c r="L57" s="184"/>
    </row>
    <row r="58" spans="1:12" x14ac:dyDescent="0.2">
      <c r="A58" s="185" t="s">
        <v>92</v>
      </c>
      <c r="B58" s="185"/>
      <c r="C58" s="185"/>
      <c r="D58" s="185"/>
      <c r="E58" s="185"/>
      <c r="F58" s="185"/>
      <c r="G58" s="185"/>
      <c r="H58" s="185"/>
      <c r="I58" s="185"/>
      <c r="J58" s="184">
        <v>180000</v>
      </c>
      <c r="K58" s="184"/>
      <c r="L58" s="184"/>
    </row>
    <row r="59" spans="1:12" x14ac:dyDescent="0.2">
      <c r="A59" s="121" t="s">
        <v>97</v>
      </c>
      <c r="B59" s="121"/>
      <c r="C59" s="121"/>
      <c r="D59" s="121"/>
      <c r="E59" s="121"/>
      <c r="F59" s="121"/>
      <c r="G59" s="121"/>
      <c r="H59" s="121"/>
      <c r="I59" s="121"/>
      <c r="J59" s="121"/>
      <c r="K59" s="121"/>
      <c r="L59" s="121"/>
    </row>
    <row r="60" spans="1:12" x14ac:dyDescent="0.2">
      <c r="A60" s="186"/>
      <c r="B60" s="186"/>
      <c r="C60" s="186"/>
      <c r="D60" s="186"/>
      <c r="E60" s="186"/>
      <c r="F60" s="186"/>
      <c r="G60" s="186"/>
      <c r="H60" s="186"/>
      <c r="I60" s="186"/>
      <c r="J60" s="184" t="s">
        <v>93</v>
      </c>
      <c r="K60" s="184"/>
      <c r="L60" s="184"/>
    </row>
    <row r="61" spans="1:12" ht="11.25" customHeight="1" x14ac:dyDescent="0.2">
      <c r="A61" s="24" t="s">
        <v>84</v>
      </c>
      <c r="B61" s="183" t="s">
        <v>94</v>
      </c>
      <c r="C61" s="183"/>
      <c r="D61" s="183"/>
      <c r="E61" s="183"/>
      <c r="F61" s="183"/>
      <c r="G61" s="183"/>
      <c r="H61" s="183"/>
      <c r="I61" s="183"/>
      <c r="J61" s="184">
        <v>262</v>
      </c>
      <c r="K61" s="184"/>
      <c r="L61" s="184"/>
    </row>
    <row r="62" spans="1:12" ht="11.25" customHeight="1" x14ac:dyDescent="0.2">
      <c r="A62" s="24" t="s">
        <v>88</v>
      </c>
      <c r="B62" s="183" t="s">
        <v>94</v>
      </c>
      <c r="C62" s="183"/>
      <c r="D62" s="183"/>
      <c r="E62" s="183"/>
      <c r="F62" s="183"/>
      <c r="G62" s="183"/>
      <c r="H62" s="183"/>
      <c r="I62" s="183"/>
      <c r="J62" s="184">
        <v>362</v>
      </c>
      <c r="K62" s="184"/>
      <c r="L62" s="184"/>
    </row>
    <row r="63" spans="1:12" x14ac:dyDescent="0.2">
      <c r="A63" s="24" t="s">
        <v>89</v>
      </c>
      <c r="B63" s="183" t="s">
        <v>95</v>
      </c>
      <c r="C63" s="183"/>
      <c r="D63" s="183"/>
      <c r="E63" s="183"/>
      <c r="F63" s="183"/>
      <c r="G63" s="183"/>
      <c r="H63" s="183"/>
      <c r="I63" s="183"/>
      <c r="J63" s="184">
        <v>674</v>
      </c>
      <c r="K63" s="184"/>
      <c r="L63" s="184"/>
    </row>
    <row r="64" spans="1:12" x14ac:dyDescent="0.2">
      <c r="A64" s="23" t="s">
        <v>91</v>
      </c>
      <c r="B64" s="183" t="s">
        <v>94</v>
      </c>
      <c r="C64" s="183"/>
      <c r="D64" s="183"/>
      <c r="E64" s="183"/>
      <c r="F64" s="183"/>
      <c r="G64" s="183"/>
      <c r="H64" s="183"/>
      <c r="I64" s="183"/>
      <c r="J64" s="184">
        <v>439.8</v>
      </c>
      <c r="K64" s="184"/>
      <c r="L64" s="184"/>
    </row>
    <row r="65" spans="1:12" x14ac:dyDescent="0.2">
      <c r="A65" s="185" t="s">
        <v>96</v>
      </c>
      <c r="B65" s="185"/>
      <c r="C65" s="185"/>
      <c r="D65" s="185"/>
      <c r="E65" s="185"/>
      <c r="F65" s="185"/>
      <c r="G65" s="185"/>
      <c r="H65" s="185"/>
      <c r="I65" s="185"/>
      <c r="J65" s="184">
        <v>180000</v>
      </c>
      <c r="K65" s="184"/>
      <c r="L65" s="184"/>
    </row>
    <row r="66" spans="1:12" x14ac:dyDescent="0.2">
      <c r="A66" s="121" t="s">
        <v>101</v>
      </c>
      <c r="B66" s="121"/>
      <c r="C66" s="121"/>
      <c r="D66" s="121"/>
      <c r="E66" s="121"/>
      <c r="F66" s="121"/>
      <c r="G66" s="121"/>
      <c r="H66" s="121"/>
      <c r="I66" s="121"/>
      <c r="J66" s="121"/>
      <c r="K66" s="121"/>
      <c r="L66" s="121"/>
    </row>
    <row r="67" spans="1:12" x14ac:dyDescent="0.2">
      <c r="A67" s="186"/>
      <c r="B67" s="186"/>
      <c r="C67" s="186"/>
      <c r="D67" s="186"/>
      <c r="E67" s="186"/>
      <c r="F67" s="186"/>
      <c r="G67" s="186"/>
      <c r="H67" s="186"/>
      <c r="I67" s="186"/>
      <c r="J67" s="184" t="s">
        <v>98</v>
      </c>
      <c r="K67" s="184"/>
      <c r="L67" s="184"/>
    </row>
    <row r="68" spans="1:12" x14ac:dyDescent="0.2">
      <c r="A68" s="24" t="s">
        <v>84</v>
      </c>
      <c r="B68" s="183" t="s">
        <v>94</v>
      </c>
      <c r="C68" s="183"/>
      <c r="D68" s="183"/>
      <c r="E68" s="183"/>
      <c r="F68" s="183"/>
      <c r="G68" s="183"/>
      <c r="H68" s="183"/>
      <c r="I68" s="183"/>
      <c r="J68" s="184">
        <v>262</v>
      </c>
      <c r="K68" s="184"/>
      <c r="L68" s="184"/>
    </row>
    <row r="69" spans="1:12" x14ac:dyDescent="0.2">
      <c r="A69" s="24" t="s">
        <v>88</v>
      </c>
      <c r="B69" s="183" t="s">
        <v>94</v>
      </c>
      <c r="C69" s="183"/>
      <c r="D69" s="183"/>
      <c r="E69" s="183"/>
      <c r="F69" s="183"/>
      <c r="G69" s="183"/>
      <c r="H69" s="183"/>
      <c r="I69" s="183"/>
      <c r="J69" s="184">
        <v>370.42</v>
      </c>
      <c r="K69" s="184"/>
      <c r="L69" s="184"/>
    </row>
    <row r="70" spans="1:12" ht="11.25" customHeight="1" x14ac:dyDescent="0.2">
      <c r="A70" s="24" t="s">
        <v>89</v>
      </c>
      <c r="B70" s="183" t="s">
        <v>95</v>
      </c>
      <c r="C70" s="183"/>
      <c r="D70" s="183"/>
      <c r="E70" s="183"/>
      <c r="F70" s="183"/>
      <c r="G70" s="183"/>
      <c r="H70" s="183"/>
      <c r="I70" s="183"/>
      <c r="J70" s="184">
        <v>666.1</v>
      </c>
      <c r="K70" s="184"/>
      <c r="L70" s="184"/>
    </row>
    <row r="71" spans="1:12" ht="11.25" customHeight="1" x14ac:dyDescent="0.2">
      <c r="A71" s="23" t="s">
        <v>91</v>
      </c>
      <c r="B71" s="183" t="s">
        <v>94</v>
      </c>
      <c r="C71" s="183"/>
      <c r="D71" s="183"/>
      <c r="E71" s="183"/>
      <c r="F71" s="183"/>
      <c r="G71" s="183"/>
      <c r="H71" s="183"/>
      <c r="I71" s="183"/>
      <c r="J71" s="184">
        <v>684.87</v>
      </c>
      <c r="K71" s="184"/>
      <c r="L71" s="184"/>
    </row>
    <row r="72" spans="1:12" ht="11.25" customHeight="1" x14ac:dyDescent="0.2">
      <c r="A72" s="185" t="s">
        <v>96</v>
      </c>
      <c r="B72" s="185"/>
      <c r="C72" s="185"/>
      <c r="D72" s="185"/>
      <c r="E72" s="185"/>
      <c r="F72" s="185"/>
      <c r="G72" s="185"/>
      <c r="H72" s="185"/>
      <c r="I72" s="185"/>
      <c r="J72" s="184">
        <v>191140.77</v>
      </c>
      <c r="K72" s="184"/>
      <c r="L72" s="184"/>
    </row>
    <row r="73" spans="1:12" ht="11.25" customHeight="1" x14ac:dyDescent="0.2">
      <c r="A73" s="121" t="s">
        <v>100</v>
      </c>
      <c r="B73" s="121"/>
      <c r="C73" s="121"/>
      <c r="D73" s="121"/>
      <c r="E73" s="121"/>
      <c r="F73" s="121"/>
      <c r="G73" s="121"/>
      <c r="H73" s="121"/>
      <c r="I73" s="121"/>
      <c r="J73" s="121"/>
      <c r="K73" s="121"/>
      <c r="L73" s="121"/>
    </row>
    <row r="74" spans="1:12" ht="45" customHeight="1" x14ac:dyDescent="0.2">
      <c r="A74" s="169" t="s">
        <v>99</v>
      </c>
      <c r="B74" s="138"/>
      <c r="C74" s="138"/>
      <c r="D74" s="138"/>
      <c r="E74" s="138"/>
      <c r="F74" s="138"/>
      <c r="G74" s="138"/>
      <c r="H74" s="138"/>
      <c r="I74" s="138"/>
      <c r="J74" s="138"/>
      <c r="K74" s="138"/>
      <c r="L74" s="170"/>
    </row>
    <row r="75" spans="1:12" x14ac:dyDescent="0.2">
      <c r="A75" s="121" t="s">
        <v>102</v>
      </c>
      <c r="B75" s="121"/>
      <c r="C75" s="121"/>
      <c r="D75" s="121"/>
      <c r="E75" s="121"/>
      <c r="F75" s="121"/>
      <c r="G75" s="121"/>
      <c r="H75" s="121"/>
      <c r="I75" s="121"/>
      <c r="J75" s="121"/>
      <c r="K75" s="121"/>
      <c r="L75" s="121"/>
    </row>
    <row r="76" spans="1:12" ht="45" customHeight="1" x14ac:dyDescent="0.2">
      <c r="A76" s="171" t="s">
        <v>103</v>
      </c>
      <c r="B76" s="172"/>
      <c r="C76" s="172"/>
      <c r="D76" s="172"/>
      <c r="E76" s="172"/>
      <c r="F76" s="172"/>
      <c r="G76" s="172"/>
      <c r="H76" s="172"/>
      <c r="I76" s="172"/>
      <c r="J76" s="172"/>
      <c r="K76" s="172"/>
      <c r="L76" s="173"/>
    </row>
    <row r="77" spans="1:12" ht="11.25" customHeight="1" x14ac:dyDescent="0.2">
      <c r="A77" s="174" t="s">
        <v>105</v>
      </c>
      <c r="B77" s="175"/>
      <c r="C77" s="175"/>
      <c r="D77" s="175"/>
      <c r="E77" s="175"/>
      <c r="F77" s="175"/>
      <c r="G77" s="175"/>
      <c r="H77" s="175"/>
      <c r="I77" s="175"/>
      <c r="J77" s="175"/>
      <c r="K77" s="175"/>
      <c r="L77" s="175"/>
    </row>
    <row r="78" spans="1:12" ht="11.25" customHeight="1" x14ac:dyDescent="0.2">
      <c r="A78" s="121" t="s">
        <v>106</v>
      </c>
      <c r="B78" s="121"/>
      <c r="C78" s="121"/>
      <c r="D78" s="121"/>
      <c r="E78" s="121"/>
      <c r="F78" s="121"/>
      <c r="G78" s="121"/>
      <c r="H78" s="121"/>
      <c r="I78" s="121"/>
      <c r="J78" s="121"/>
      <c r="K78" s="121"/>
      <c r="L78" s="121"/>
    </row>
    <row r="79" spans="1:12" ht="11.25" customHeight="1" x14ac:dyDescent="0.2">
      <c r="A79" s="21" t="s">
        <v>118</v>
      </c>
      <c r="B79" s="31" t="s">
        <v>117</v>
      </c>
      <c r="C79" s="179" t="s">
        <v>112</v>
      </c>
      <c r="D79" s="180"/>
      <c r="E79" s="179" t="s">
        <v>114</v>
      </c>
      <c r="F79" s="180"/>
      <c r="G79" s="28" t="s">
        <v>73</v>
      </c>
      <c r="H79" s="5" t="s">
        <v>107</v>
      </c>
      <c r="I79" s="176" t="s">
        <v>109</v>
      </c>
      <c r="J79" s="177"/>
      <c r="K79" s="176" t="s">
        <v>111</v>
      </c>
      <c r="L79" s="177"/>
    </row>
    <row r="80" spans="1:12" ht="11.25" customHeight="1" x14ac:dyDescent="0.2">
      <c r="A80" s="37"/>
      <c r="B80" s="33"/>
      <c r="C80" s="68" t="s">
        <v>113</v>
      </c>
      <c r="D80" s="115"/>
      <c r="E80" s="181" t="s">
        <v>115</v>
      </c>
      <c r="F80" s="182"/>
      <c r="G80" s="41" t="s">
        <v>108</v>
      </c>
      <c r="H80" s="40" t="s">
        <v>116</v>
      </c>
      <c r="I80" s="178" t="s">
        <v>110</v>
      </c>
      <c r="J80" s="124"/>
      <c r="K80" s="178" t="s">
        <v>5</v>
      </c>
      <c r="L80" s="124"/>
    </row>
    <row r="81" spans="1:12" ht="11.25" customHeight="1" x14ac:dyDescent="0.2">
      <c r="A81" s="38" t="s">
        <v>119</v>
      </c>
      <c r="B81" s="33"/>
      <c r="C81" s="165">
        <v>740.88</v>
      </c>
      <c r="D81" s="166"/>
      <c r="E81" s="157">
        <v>650</v>
      </c>
      <c r="F81" s="158"/>
      <c r="G81" s="42">
        <v>1</v>
      </c>
      <c r="H81" s="35">
        <v>0.8</v>
      </c>
      <c r="I81" s="149">
        <f>+E81*H81</f>
        <v>520</v>
      </c>
      <c r="J81" s="150"/>
      <c r="K81" s="149">
        <f>+I81*C81</f>
        <v>385257.6</v>
      </c>
      <c r="L81" s="150"/>
    </row>
    <row r="82" spans="1:12" ht="11.25" customHeight="1" x14ac:dyDescent="0.2">
      <c r="A82" s="34" t="s">
        <v>120</v>
      </c>
      <c r="B82" s="33"/>
      <c r="C82" s="167">
        <v>1199.58</v>
      </c>
      <c r="D82" s="168"/>
      <c r="E82" s="157">
        <v>650</v>
      </c>
      <c r="F82" s="158"/>
      <c r="G82" s="35">
        <v>1</v>
      </c>
      <c r="H82" s="35">
        <v>0.8</v>
      </c>
      <c r="I82" s="149">
        <f t="shared" ref="I82:I117" si="0">+E82*H82</f>
        <v>520</v>
      </c>
      <c r="J82" s="150"/>
      <c r="K82" s="149">
        <f t="shared" ref="K82:K117" si="1">+I82*C82</f>
        <v>623781.6</v>
      </c>
      <c r="L82" s="150"/>
    </row>
    <row r="83" spans="1:12" ht="11.25" customHeight="1" x14ac:dyDescent="0.2">
      <c r="A83" s="34" t="s">
        <v>121</v>
      </c>
      <c r="B83" s="33"/>
      <c r="C83" s="167">
        <v>525</v>
      </c>
      <c r="D83" s="168"/>
      <c r="E83" s="157">
        <v>650</v>
      </c>
      <c r="F83" s="158"/>
      <c r="G83" s="35">
        <v>1</v>
      </c>
      <c r="H83" s="35">
        <v>0.8</v>
      </c>
      <c r="I83" s="149">
        <f t="shared" si="0"/>
        <v>520</v>
      </c>
      <c r="J83" s="150"/>
      <c r="K83" s="149">
        <f t="shared" si="1"/>
        <v>273000</v>
      </c>
      <c r="L83" s="150"/>
    </row>
    <row r="84" spans="1:12" ht="11.25" customHeight="1" x14ac:dyDescent="0.2">
      <c r="A84" s="34" t="s">
        <v>122</v>
      </c>
      <c r="B84" s="33"/>
      <c r="C84" s="167">
        <v>134.09</v>
      </c>
      <c r="D84" s="168"/>
      <c r="E84" s="157">
        <v>350</v>
      </c>
      <c r="F84" s="158"/>
      <c r="G84" s="35">
        <v>1</v>
      </c>
      <c r="H84" s="35">
        <v>0.8</v>
      </c>
      <c r="I84" s="149">
        <f t="shared" si="0"/>
        <v>280</v>
      </c>
      <c r="J84" s="150"/>
      <c r="K84" s="149">
        <f t="shared" si="1"/>
        <v>37545.200000000004</v>
      </c>
      <c r="L84" s="150"/>
    </row>
    <row r="85" spans="1:12" ht="11.25" customHeight="1" x14ac:dyDescent="0.2">
      <c r="A85" s="34" t="s">
        <v>123</v>
      </c>
      <c r="B85" s="33"/>
      <c r="C85" s="167">
        <v>652.41999999999996</v>
      </c>
      <c r="D85" s="168"/>
      <c r="E85" s="157">
        <v>650</v>
      </c>
      <c r="F85" s="158"/>
      <c r="G85" s="35">
        <v>1</v>
      </c>
      <c r="H85" s="35">
        <v>0.9</v>
      </c>
      <c r="I85" s="149">
        <f t="shared" si="0"/>
        <v>585</v>
      </c>
      <c r="J85" s="150"/>
      <c r="K85" s="149">
        <f t="shared" si="1"/>
        <v>381665.69999999995</v>
      </c>
      <c r="L85" s="150"/>
    </row>
    <row r="86" spans="1:12" ht="11.25" customHeight="1" x14ac:dyDescent="0.2">
      <c r="A86" s="34" t="s">
        <v>124</v>
      </c>
      <c r="B86" s="33"/>
      <c r="C86" s="167">
        <v>669.16</v>
      </c>
      <c r="D86" s="168"/>
      <c r="E86" s="157">
        <v>650</v>
      </c>
      <c r="F86" s="158"/>
      <c r="G86" s="35">
        <v>1</v>
      </c>
      <c r="H86" s="35">
        <v>0.9</v>
      </c>
      <c r="I86" s="149">
        <f t="shared" si="0"/>
        <v>585</v>
      </c>
      <c r="J86" s="150"/>
      <c r="K86" s="149">
        <f t="shared" si="1"/>
        <v>391458.6</v>
      </c>
      <c r="L86" s="150"/>
    </row>
    <row r="87" spans="1:12" ht="11.25" customHeight="1" x14ac:dyDescent="0.2">
      <c r="A87" s="34" t="s">
        <v>125</v>
      </c>
      <c r="B87" s="33"/>
      <c r="C87" s="167">
        <v>453.93</v>
      </c>
      <c r="D87" s="168"/>
      <c r="E87" s="157">
        <v>350</v>
      </c>
      <c r="F87" s="158"/>
      <c r="G87" s="35">
        <v>1</v>
      </c>
      <c r="H87" s="35">
        <v>0.8</v>
      </c>
      <c r="I87" s="149">
        <f t="shared" si="0"/>
        <v>280</v>
      </c>
      <c r="J87" s="150"/>
      <c r="K87" s="149">
        <f t="shared" si="1"/>
        <v>127100.40000000001</v>
      </c>
      <c r="L87" s="150"/>
    </row>
    <row r="88" spans="1:12" ht="11.25" customHeight="1" x14ac:dyDescent="0.2">
      <c r="A88" s="36" t="s">
        <v>126</v>
      </c>
      <c r="B88" s="33"/>
      <c r="C88" s="167">
        <v>1076.44</v>
      </c>
      <c r="D88" s="168"/>
      <c r="E88" s="157">
        <v>550</v>
      </c>
      <c r="F88" s="158"/>
      <c r="G88" s="35">
        <v>1</v>
      </c>
      <c r="H88" s="35">
        <v>0.8</v>
      </c>
      <c r="I88" s="149">
        <f t="shared" si="0"/>
        <v>440</v>
      </c>
      <c r="J88" s="150"/>
      <c r="K88" s="149">
        <f t="shared" si="1"/>
        <v>473633.60000000003</v>
      </c>
      <c r="L88" s="150"/>
    </row>
    <row r="89" spans="1:12" ht="11.25" customHeight="1" x14ac:dyDescent="0.2">
      <c r="A89" s="34" t="s">
        <v>127</v>
      </c>
      <c r="B89" s="33"/>
      <c r="C89" s="167">
        <v>1383.1</v>
      </c>
      <c r="D89" s="168"/>
      <c r="E89" s="157">
        <v>950</v>
      </c>
      <c r="F89" s="158"/>
      <c r="G89" s="35">
        <v>1</v>
      </c>
      <c r="H89" s="35">
        <v>0.65</v>
      </c>
      <c r="I89" s="149">
        <f t="shared" si="0"/>
        <v>617.5</v>
      </c>
      <c r="J89" s="150"/>
      <c r="K89" s="149">
        <f t="shared" si="1"/>
        <v>854064.25</v>
      </c>
      <c r="L89" s="150"/>
    </row>
    <row r="90" spans="1:12" ht="11.25" customHeight="1" x14ac:dyDescent="0.2">
      <c r="A90" s="36" t="s">
        <v>128</v>
      </c>
      <c r="B90" s="33"/>
      <c r="C90" s="167">
        <v>517.85</v>
      </c>
      <c r="D90" s="168"/>
      <c r="E90" s="157">
        <v>650</v>
      </c>
      <c r="F90" s="158"/>
      <c r="G90" s="35">
        <v>1</v>
      </c>
      <c r="H90" s="35">
        <v>0.4</v>
      </c>
      <c r="I90" s="149">
        <f t="shared" si="0"/>
        <v>260</v>
      </c>
      <c r="J90" s="150"/>
      <c r="K90" s="149">
        <f t="shared" si="1"/>
        <v>134641</v>
      </c>
      <c r="L90" s="150"/>
    </row>
    <row r="91" spans="1:12" ht="11.25" customHeight="1" x14ac:dyDescent="0.2">
      <c r="A91" s="34" t="s">
        <v>129</v>
      </c>
      <c r="B91" s="33"/>
      <c r="C91" s="167">
        <v>794.25</v>
      </c>
      <c r="D91" s="168"/>
      <c r="E91" s="157">
        <v>850</v>
      </c>
      <c r="F91" s="158"/>
      <c r="G91" s="35">
        <v>1</v>
      </c>
      <c r="H91" s="35">
        <v>0.85</v>
      </c>
      <c r="I91" s="149">
        <f t="shared" si="0"/>
        <v>722.5</v>
      </c>
      <c r="J91" s="150"/>
      <c r="K91" s="149">
        <f t="shared" si="1"/>
        <v>573845.625</v>
      </c>
      <c r="L91" s="150"/>
    </row>
    <row r="92" spans="1:12" ht="11.25" customHeight="1" x14ac:dyDescent="0.2">
      <c r="A92" s="34" t="s">
        <v>130</v>
      </c>
      <c r="B92" s="33"/>
      <c r="C92" s="167">
        <v>92.04</v>
      </c>
      <c r="D92" s="168"/>
      <c r="E92" s="157">
        <v>650</v>
      </c>
      <c r="F92" s="158"/>
      <c r="G92" s="35">
        <v>1</v>
      </c>
      <c r="H92" s="35">
        <v>0.85</v>
      </c>
      <c r="I92" s="149">
        <f t="shared" si="0"/>
        <v>552.5</v>
      </c>
      <c r="J92" s="150"/>
      <c r="K92" s="149">
        <f t="shared" si="1"/>
        <v>50852.100000000006</v>
      </c>
      <c r="L92" s="150"/>
    </row>
    <row r="93" spans="1:12" ht="11.25" customHeight="1" x14ac:dyDescent="0.2">
      <c r="A93" s="34" t="s">
        <v>131</v>
      </c>
      <c r="B93" s="33"/>
      <c r="C93" s="167">
        <v>1536.93</v>
      </c>
      <c r="D93" s="168"/>
      <c r="E93" s="157">
        <v>850</v>
      </c>
      <c r="F93" s="158"/>
      <c r="G93" s="35">
        <v>1</v>
      </c>
      <c r="H93" s="35">
        <v>0.9</v>
      </c>
      <c r="I93" s="149">
        <f t="shared" si="0"/>
        <v>765</v>
      </c>
      <c r="J93" s="150"/>
      <c r="K93" s="149">
        <f t="shared" si="1"/>
        <v>1175751.45</v>
      </c>
      <c r="L93" s="150"/>
    </row>
    <row r="94" spans="1:12" ht="11.25" customHeight="1" x14ac:dyDescent="0.2">
      <c r="A94" s="36" t="s">
        <v>132</v>
      </c>
      <c r="B94" s="33"/>
      <c r="C94" s="167">
        <v>799.94</v>
      </c>
      <c r="D94" s="168"/>
      <c r="E94" s="157">
        <v>900</v>
      </c>
      <c r="F94" s="158"/>
      <c r="G94" s="35">
        <v>1</v>
      </c>
      <c r="H94" s="35">
        <v>0.85</v>
      </c>
      <c r="I94" s="149">
        <f t="shared" si="0"/>
        <v>765</v>
      </c>
      <c r="J94" s="150"/>
      <c r="K94" s="149">
        <f t="shared" si="1"/>
        <v>611954.10000000009</v>
      </c>
      <c r="L94" s="150"/>
    </row>
    <row r="95" spans="1:12" ht="11.25" customHeight="1" x14ac:dyDescent="0.2">
      <c r="A95" s="36" t="s">
        <v>133</v>
      </c>
      <c r="B95" s="33"/>
      <c r="C95" s="167">
        <v>1486.33</v>
      </c>
      <c r="D95" s="168"/>
      <c r="E95" s="157">
        <v>850</v>
      </c>
      <c r="F95" s="158"/>
      <c r="G95" s="35">
        <v>1</v>
      </c>
      <c r="H95" s="35">
        <v>0.78</v>
      </c>
      <c r="I95" s="149">
        <f t="shared" si="0"/>
        <v>663</v>
      </c>
      <c r="J95" s="150"/>
      <c r="K95" s="149">
        <f t="shared" si="1"/>
        <v>985436.78999999992</v>
      </c>
      <c r="L95" s="150"/>
    </row>
    <row r="96" spans="1:12" ht="11.25" customHeight="1" x14ac:dyDescent="0.2">
      <c r="A96" s="36" t="s">
        <v>134</v>
      </c>
      <c r="B96" s="33"/>
      <c r="C96" s="167">
        <v>672.7</v>
      </c>
      <c r="D96" s="168"/>
      <c r="E96" s="157">
        <v>650</v>
      </c>
      <c r="F96" s="158"/>
      <c r="G96" s="35">
        <v>1</v>
      </c>
      <c r="H96" s="35">
        <v>0.78</v>
      </c>
      <c r="I96" s="149">
        <f t="shared" si="0"/>
        <v>507</v>
      </c>
      <c r="J96" s="150"/>
      <c r="K96" s="149">
        <f t="shared" si="1"/>
        <v>341058.9</v>
      </c>
      <c r="L96" s="150"/>
    </row>
    <row r="97" spans="1:12" ht="11.25" customHeight="1" x14ac:dyDescent="0.2">
      <c r="A97" s="36" t="s">
        <v>135</v>
      </c>
      <c r="B97" s="33"/>
      <c r="C97" s="167">
        <v>649.72</v>
      </c>
      <c r="D97" s="168"/>
      <c r="E97" s="157">
        <v>650</v>
      </c>
      <c r="F97" s="158"/>
      <c r="G97" s="35">
        <v>1</v>
      </c>
      <c r="H97" s="35">
        <v>0.85</v>
      </c>
      <c r="I97" s="149">
        <f t="shared" si="0"/>
        <v>552.5</v>
      </c>
      <c r="J97" s="150"/>
      <c r="K97" s="149">
        <f t="shared" si="1"/>
        <v>358970.3</v>
      </c>
      <c r="L97" s="150"/>
    </row>
    <row r="98" spans="1:12" ht="11.25" customHeight="1" x14ac:dyDescent="0.2">
      <c r="A98" s="36" t="s">
        <v>136</v>
      </c>
      <c r="B98" s="33"/>
      <c r="C98" s="167">
        <v>188.23</v>
      </c>
      <c r="D98" s="168"/>
      <c r="E98" s="157">
        <v>750</v>
      </c>
      <c r="F98" s="158"/>
      <c r="G98" s="35">
        <v>1</v>
      </c>
      <c r="H98" s="35">
        <v>0.95</v>
      </c>
      <c r="I98" s="149">
        <f t="shared" si="0"/>
        <v>712.5</v>
      </c>
      <c r="J98" s="150"/>
      <c r="K98" s="149">
        <f t="shared" si="1"/>
        <v>134113.875</v>
      </c>
      <c r="L98" s="150"/>
    </row>
    <row r="99" spans="1:12" ht="11.25" customHeight="1" x14ac:dyDescent="0.2">
      <c r="A99" s="36" t="s">
        <v>137</v>
      </c>
      <c r="B99" s="33"/>
      <c r="C99" s="167">
        <v>1477.68</v>
      </c>
      <c r="D99" s="168"/>
      <c r="E99" s="157">
        <v>880</v>
      </c>
      <c r="F99" s="158"/>
      <c r="G99" s="35">
        <v>1</v>
      </c>
      <c r="H99" s="35">
        <v>0.95</v>
      </c>
      <c r="I99" s="149">
        <f t="shared" si="0"/>
        <v>836</v>
      </c>
      <c r="J99" s="150"/>
      <c r="K99" s="149">
        <f t="shared" si="1"/>
        <v>1235340.48</v>
      </c>
      <c r="L99" s="150"/>
    </row>
    <row r="100" spans="1:12" ht="11.25" customHeight="1" x14ac:dyDescent="0.2">
      <c r="A100" s="36" t="s">
        <v>138</v>
      </c>
      <c r="B100" s="33"/>
      <c r="C100" s="167">
        <v>3240.3</v>
      </c>
      <c r="D100" s="168"/>
      <c r="E100" s="157">
        <v>950</v>
      </c>
      <c r="F100" s="158"/>
      <c r="G100" s="35">
        <v>1</v>
      </c>
      <c r="H100" s="35">
        <v>0.95</v>
      </c>
      <c r="I100" s="149">
        <f t="shared" si="0"/>
        <v>902.5</v>
      </c>
      <c r="J100" s="150"/>
      <c r="K100" s="149">
        <f t="shared" si="1"/>
        <v>2924370.75</v>
      </c>
      <c r="L100" s="150"/>
    </row>
    <row r="101" spans="1:12" ht="11.25" customHeight="1" x14ac:dyDescent="0.2">
      <c r="A101" s="36" t="s">
        <v>139</v>
      </c>
      <c r="B101" s="33"/>
      <c r="C101" s="167">
        <v>1541.22</v>
      </c>
      <c r="D101" s="168"/>
      <c r="E101" s="157">
        <v>950</v>
      </c>
      <c r="F101" s="158"/>
      <c r="G101" s="35">
        <v>1</v>
      </c>
      <c r="H101" s="35">
        <v>0.9</v>
      </c>
      <c r="I101" s="149">
        <f t="shared" si="0"/>
        <v>855</v>
      </c>
      <c r="J101" s="150"/>
      <c r="K101" s="149">
        <f t="shared" si="1"/>
        <v>1317743.1000000001</v>
      </c>
      <c r="L101" s="150"/>
    </row>
    <row r="102" spans="1:12" ht="11.25" customHeight="1" x14ac:dyDescent="0.2">
      <c r="A102" s="36" t="s">
        <v>140</v>
      </c>
      <c r="B102" s="33"/>
      <c r="C102" s="167">
        <v>672.78</v>
      </c>
      <c r="D102" s="168"/>
      <c r="E102" s="157">
        <v>250</v>
      </c>
      <c r="F102" s="158"/>
      <c r="G102" s="35">
        <v>1</v>
      </c>
      <c r="H102" s="35">
        <v>0.8</v>
      </c>
      <c r="I102" s="149">
        <f t="shared" si="0"/>
        <v>200</v>
      </c>
      <c r="J102" s="150"/>
      <c r="K102" s="149">
        <f t="shared" si="1"/>
        <v>134556</v>
      </c>
      <c r="L102" s="150"/>
    </row>
    <row r="103" spans="1:12" ht="11.25" customHeight="1" x14ac:dyDescent="0.2">
      <c r="A103" s="36" t="s">
        <v>141</v>
      </c>
      <c r="B103" s="33"/>
      <c r="C103" s="167">
        <v>5557.68</v>
      </c>
      <c r="D103" s="168"/>
      <c r="E103" s="157">
        <v>1100</v>
      </c>
      <c r="F103" s="158"/>
      <c r="G103" s="35">
        <v>1</v>
      </c>
      <c r="H103" s="35">
        <v>1</v>
      </c>
      <c r="I103" s="149">
        <f t="shared" si="0"/>
        <v>1100</v>
      </c>
      <c r="J103" s="150"/>
      <c r="K103" s="149">
        <f t="shared" si="1"/>
        <v>6113448</v>
      </c>
      <c r="L103" s="150"/>
    </row>
    <row r="104" spans="1:12" ht="11.25" customHeight="1" x14ac:dyDescent="0.2">
      <c r="A104" s="36" t="s">
        <v>142</v>
      </c>
      <c r="B104" s="33"/>
      <c r="C104" s="167">
        <v>2556.04</v>
      </c>
      <c r="D104" s="168"/>
      <c r="E104" s="157">
        <v>950</v>
      </c>
      <c r="F104" s="158"/>
      <c r="G104" s="35">
        <v>1</v>
      </c>
      <c r="H104" s="35">
        <v>1</v>
      </c>
      <c r="I104" s="149">
        <f t="shared" si="0"/>
        <v>950</v>
      </c>
      <c r="J104" s="150"/>
      <c r="K104" s="149">
        <f t="shared" si="1"/>
        <v>2428238</v>
      </c>
      <c r="L104" s="150"/>
    </row>
    <row r="105" spans="1:12" ht="11.25" customHeight="1" x14ac:dyDescent="0.2">
      <c r="A105" s="36" t="s">
        <v>143</v>
      </c>
      <c r="B105" s="33"/>
      <c r="C105" s="167">
        <v>446.43200000000002</v>
      </c>
      <c r="D105" s="168"/>
      <c r="E105" s="157">
        <v>850</v>
      </c>
      <c r="F105" s="158"/>
      <c r="G105" s="35">
        <v>1</v>
      </c>
      <c r="H105" s="35">
        <v>0.95</v>
      </c>
      <c r="I105" s="149">
        <f t="shared" si="0"/>
        <v>807.5</v>
      </c>
      <c r="J105" s="150"/>
      <c r="K105" s="149">
        <f t="shared" si="1"/>
        <v>360493.84</v>
      </c>
      <c r="L105" s="150"/>
    </row>
    <row r="106" spans="1:12" ht="11.25" customHeight="1" x14ac:dyDescent="0.2">
      <c r="A106" s="36" t="s">
        <v>144</v>
      </c>
      <c r="B106" s="33"/>
      <c r="C106" s="167">
        <v>5680.73</v>
      </c>
      <c r="D106" s="168"/>
      <c r="E106" s="157">
        <v>1100</v>
      </c>
      <c r="F106" s="158"/>
      <c r="G106" s="35">
        <v>1</v>
      </c>
      <c r="H106" s="35">
        <v>1</v>
      </c>
      <c r="I106" s="149">
        <f t="shared" si="0"/>
        <v>1100</v>
      </c>
      <c r="J106" s="150"/>
      <c r="K106" s="149">
        <f t="shared" si="1"/>
        <v>6248802.9999999991</v>
      </c>
      <c r="L106" s="150"/>
    </row>
    <row r="107" spans="1:12" ht="11.25" customHeight="1" x14ac:dyDescent="0.2">
      <c r="A107" s="36" t="s">
        <v>145</v>
      </c>
      <c r="B107" s="33"/>
      <c r="C107" s="167">
        <v>744.36</v>
      </c>
      <c r="D107" s="168"/>
      <c r="E107" s="157">
        <v>550</v>
      </c>
      <c r="F107" s="158"/>
      <c r="G107" s="35">
        <v>1</v>
      </c>
      <c r="H107" s="35">
        <v>0.9</v>
      </c>
      <c r="I107" s="149">
        <f t="shared" si="0"/>
        <v>495</v>
      </c>
      <c r="J107" s="150"/>
      <c r="K107" s="149">
        <f t="shared" si="1"/>
        <v>368458.2</v>
      </c>
      <c r="L107" s="150"/>
    </row>
    <row r="108" spans="1:12" ht="11.25" customHeight="1" x14ac:dyDescent="0.2">
      <c r="A108" s="36" t="s">
        <v>146</v>
      </c>
      <c r="B108" s="33"/>
      <c r="C108" s="167">
        <v>232.93</v>
      </c>
      <c r="D108" s="168"/>
      <c r="E108" s="157">
        <v>650</v>
      </c>
      <c r="F108" s="158"/>
      <c r="G108" s="35">
        <v>1</v>
      </c>
      <c r="H108" s="35">
        <v>0.78</v>
      </c>
      <c r="I108" s="149">
        <f t="shared" si="0"/>
        <v>507</v>
      </c>
      <c r="J108" s="150"/>
      <c r="K108" s="149">
        <f t="shared" si="1"/>
        <v>118095.51000000001</v>
      </c>
      <c r="L108" s="150"/>
    </row>
    <row r="109" spans="1:12" ht="11.25" customHeight="1" x14ac:dyDescent="0.2">
      <c r="A109" s="36" t="s">
        <v>147</v>
      </c>
      <c r="B109" s="33"/>
      <c r="C109" s="167">
        <v>126.3</v>
      </c>
      <c r="D109" s="168"/>
      <c r="E109" s="157">
        <v>500</v>
      </c>
      <c r="F109" s="158"/>
      <c r="G109" s="35">
        <v>1</v>
      </c>
      <c r="H109" s="35">
        <v>0.98</v>
      </c>
      <c r="I109" s="149">
        <f t="shared" si="0"/>
        <v>490</v>
      </c>
      <c r="J109" s="150"/>
      <c r="K109" s="149">
        <f t="shared" si="1"/>
        <v>61887</v>
      </c>
      <c r="L109" s="150"/>
    </row>
    <row r="110" spans="1:12" ht="11.25" customHeight="1" x14ac:dyDescent="0.2">
      <c r="A110" s="36" t="s">
        <v>148</v>
      </c>
      <c r="B110" s="33"/>
      <c r="C110" s="159">
        <v>233.44</v>
      </c>
      <c r="D110" s="160"/>
      <c r="E110" s="147">
        <v>600</v>
      </c>
      <c r="F110" s="148"/>
      <c r="G110" s="39">
        <v>1</v>
      </c>
      <c r="H110" s="39">
        <v>0.88</v>
      </c>
      <c r="I110" s="149">
        <f t="shared" si="0"/>
        <v>528</v>
      </c>
      <c r="J110" s="150"/>
      <c r="K110" s="149">
        <f>+I110*C110</f>
        <v>123256.31999999999</v>
      </c>
      <c r="L110" s="150"/>
    </row>
    <row r="111" spans="1:12" ht="11.25" customHeight="1" x14ac:dyDescent="0.2">
      <c r="A111" s="36" t="s">
        <v>149</v>
      </c>
      <c r="B111" s="33"/>
      <c r="C111" s="159">
        <v>68.55</v>
      </c>
      <c r="D111" s="160"/>
      <c r="E111" s="147">
        <v>500</v>
      </c>
      <c r="F111" s="148"/>
      <c r="G111" s="39">
        <v>1</v>
      </c>
      <c r="H111" s="39">
        <v>0.8</v>
      </c>
      <c r="I111" s="149">
        <f t="shared" si="0"/>
        <v>400</v>
      </c>
      <c r="J111" s="150"/>
      <c r="K111" s="149">
        <f t="shared" si="1"/>
        <v>27420</v>
      </c>
      <c r="L111" s="150"/>
    </row>
    <row r="112" spans="1:12" ht="11.25" customHeight="1" x14ac:dyDescent="0.2">
      <c r="A112" s="36" t="s">
        <v>150</v>
      </c>
      <c r="B112" s="33"/>
      <c r="C112" s="159">
        <v>156.41</v>
      </c>
      <c r="D112" s="160"/>
      <c r="E112" s="147">
        <v>500</v>
      </c>
      <c r="F112" s="148"/>
      <c r="G112" s="39">
        <v>1</v>
      </c>
      <c r="H112" s="39">
        <v>0.85</v>
      </c>
      <c r="I112" s="149">
        <f t="shared" si="0"/>
        <v>425</v>
      </c>
      <c r="J112" s="150"/>
      <c r="K112" s="149">
        <f t="shared" si="1"/>
        <v>66474.25</v>
      </c>
      <c r="L112" s="150"/>
    </row>
    <row r="113" spans="1:12" ht="11.25" customHeight="1" x14ac:dyDescent="0.2">
      <c r="A113" s="36" t="s">
        <v>151</v>
      </c>
      <c r="B113" s="33"/>
      <c r="C113" s="159">
        <v>230.62</v>
      </c>
      <c r="D113" s="160"/>
      <c r="E113" s="147">
        <v>500</v>
      </c>
      <c r="F113" s="148"/>
      <c r="G113" s="39">
        <v>1</v>
      </c>
      <c r="H113" s="39">
        <v>0.8</v>
      </c>
      <c r="I113" s="149">
        <f t="shared" si="0"/>
        <v>400</v>
      </c>
      <c r="J113" s="150"/>
      <c r="K113" s="149">
        <f t="shared" si="1"/>
        <v>92248</v>
      </c>
      <c r="L113" s="150"/>
    </row>
    <row r="114" spans="1:12" ht="11.25" customHeight="1" x14ac:dyDescent="0.2">
      <c r="A114" s="36" t="s">
        <v>152</v>
      </c>
      <c r="B114" s="33"/>
      <c r="C114" s="159">
        <v>54.77</v>
      </c>
      <c r="D114" s="160"/>
      <c r="E114" s="147">
        <v>450</v>
      </c>
      <c r="F114" s="148"/>
      <c r="G114" s="39">
        <v>1</v>
      </c>
      <c r="H114" s="39">
        <v>0.8</v>
      </c>
      <c r="I114" s="149">
        <f t="shared" si="0"/>
        <v>360</v>
      </c>
      <c r="J114" s="150"/>
      <c r="K114" s="149">
        <f t="shared" si="1"/>
        <v>19717.2</v>
      </c>
      <c r="L114" s="150"/>
    </row>
    <row r="115" spans="1:12" ht="11.25" customHeight="1" x14ac:dyDescent="0.2">
      <c r="A115" s="36" t="s">
        <v>153</v>
      </c>
      <c r="B115" s="33"/>
      <c r="C115" s="159">
        <v>91.33</v>
      </c>
      <c r="D115" s="160"/>
      <c r="E115" s="147">
        <v>600</v>
      </c>
      <c r="F115" s="148"/>
      <c r="G115" s="39">
        <v>1</v>
      </c>
      <c r="H115" s="39">
        <v>0.9</v>
      </c>
      <c r="I115" s="149">
        <f t="shared" si="0"/>
        <v>540</v>
      </c>
      <c r="J115" s="150"/>
      <c r="K115" s="149">
        <f t="shared" si="1"/>
        <v>49318.2</v>
      </c>
      <c r="L115" s="150"/>
    </row>
    <row r="116" spans="1:12" ht="11.25" customHeight="1" x14ac:dyDescent="0.2">
      <c r="A116" s="36" t="s">
        <v>154</v>
      </c>
      <c r="B116" s="33"/>
      <c r="C116" s="159">
        <v>118.27</v>
      </c>
      <c r="D116" s="160"/>
      <c r="E116" s="147">
        <v>600</v>
      </c>
      <c r="F116" s="148"/>
      <c r="G116" s="39">
        <v>1</v>
      </c>
      <c r="H116" s="39">
        <v>0.95</v>
      </c>
      <c r="I116" s="149">
        <f t="shared" si="0"/>
        <v>570</v>
      </c>
      <c r="J116" s="150"/>
      <c r="K116" s="149">
        <f t="shared" si="1"/>
        <v>67413.899999999994</v>
      </c>
      <c r="L116" s="150"/>
    </row>
    <row r="117" spans="1:12" ht="11.25" customHeight="1" x14ac:dyDescent="0.2">
      <c r="A117" s="38" t="s">
        <v>155</v>
      </c>
      <c r="B117" s="33"/>
      <c r="C117" s="161">
        <v>24.97</v>
      </c>
      <c r="D117" s="162"/>
      <c r="E117" s="147">
        <v>450</v>
      </c>
      <c r="F117" s="148"/>
      <c r="G117" s="39">
        <v>1</v>
      </c>
      <c r="H117" s="39">
        <v>0.85</v>
      </c>
      <c r="I117" s="149">
        <f t="shared" si="0"/>
        <v>382.5</v>
      </c>
      <c r="J117" s="150"/>
      <c r="K117" s="149">
        <f t="shared" si="1"/>
        <v>9551.0249999999996</v>
      </c>
      <c r="L117" s="150"/>
    </row>
    <row r="118" spans="1:12" ht="11.25" customHeight="1" x14ac:dyDescent="0.2">
      <c r="A118" s="38"/>
      <c r="B118" s="33"/>
      <c r="C118" s="161"/>
      <c r="D118" s="162"/>
      <c r="E118" s="147"/>
      <c r="F118" s="148"/>
      <c r="G118" s="39"/>
      <c r="H118" s="39"/>
      <c r="I118" s="149"/>
      <c r="J118" s="150"/>
      <c r="K118" s="149"/>
      <c r="L118" s="150"/>
    </row>
    <row r="119" spans="1:12" ht="11.25" customHeight="1" x14ac:dyDescent="0.2">
      <c r="A119" s="43" t="s">
        <v>5</v>
      </c>
      <c r="B119" s="33"/>
      <c r="C119" s="163">
        <f>SUM(C81:C118)</f>
        <v>36827.402000000016</v>
      </c>
      <c r="D119" s="164"/>
      <c r="E119" s="25"/>
      <c r="F119" s="26"/>
      <c r="G119" s="27"/>
      <c r="H119" s="29"/>
      <c r="I119" s="6"/>
      <c r="J119" s="30"/>
      <c r="K119" s="146">
        <f>SUM(K81:L117)</f>
        <v>29680963.864999998</v>
      </c>
      <c r="L119" s="141"/>
    </row>
    <row r="120" spans="1:12" ht="11.25" customHeight="1" x14ac:dyDescent="0.2">
      <c r="A120" s="68"/>
      <c r="B120" s="69"/>
      <c r="C120" s="69"/>
      <c r="D120" s="69"/>
      <c r="E120" s="69"/>
      <c r="F120" s="69"/>
      <c r="G120" s="69"/>
      <c r="H120" s="69"/>
      <c r="I120" s="69"/>
      <c r="J120" s="69"/>
      <c r="K120" s="69"/>
      <c r="L120" s="70"/>
    </row>
    <row r="121" spans="1:12" ht="11.25" customHeight="1" x14ac:dyDescent="0.2">
      <c r="A121" s="68"/>
      <c r="B121" s="115"/>
      <c r="C121" s="116" t="s">
        <v>156</v>
      </c>
      <c r="D121" s="117"/>
      <c r="E121" s="117"/>
      <c r="F121" s="117"/>
      <c r="G121" s="117"/>
      <c r="H121" s="117"/>
      <c r="I121" s="117"/>
      <c r="J121" s="118"/>
      <c r="K121" s="119">
        <f>K119</f>
        <v>29680963.864999998</v>
      </c>
      <c r="L121" s="120"/>
    </row>
    <row r="122" spans="1:12" ht="11.25" customHeight="1" x14ac:dyDescent="0.2">
      <c r="A122" s="32"/>
      <c r="B122" s="123"/>
      <c r="C122" s="123"/>
      <c r="D122" s="123"/>
      <c r="E122" s="123"/>
      <c r="F122" s="123"/>
      <c r="G122" s="123"/>
      <c r="H122" s="123"/>
      <c r="I122" s="123"/>
      <c r="J122" s="123"/>
      <c r="K122" s="123"/>
      <c r="L122" s="124"/>
    </row>
    <row r="123" spans="1:12" ht="11.25" customHeight="1" x14ac:dyDescent="0.2">
      <c r="A123" s="121" t="s">
        <v>157</v>
      </c>
      <c r="B123" s="121"/>
      <c r="C123" s="121"/>
      <c r="D123" s="121"/>
      <c r="E123" s="121"/>
      <c r="F123" s="121"/>
      <c r="G123" s="121"/>
      <c r="H123" s="121"/>
      <c r="I123" s="121"/>
      <c r="J123" s="121"/>
      <c r="K123" s="121"/>
      <c r="L123" s="121"/>
    </row>
    <row r="124" spans="1:12" ht="11.25" customHeight="1" x14ac:dyDescent="0.2">
      <c r="A124" s="154" t="s">
        <v>4</v>
      </c>
      <c r="B124" s="155"/>
      <c r="C124" s="155"/>
      <c r="D124" s="155"/>
      <c r="E124" s="156"/>
      <c r="F124" s="26"/>
      <c r="G124" s="153" t="s">
        <v>159</v>
      </c>
      <c r="H124" s="152"/>
      <c r="I124" s="151" t="s">
        <v>158</v>
      </c>
      <c r="J124" s="152"/>
      <c r="K124" s="151" t="s">
        <v>5</v>
      </c>
      <c r="L124" s="152"/>
    </row>
    <row r="125" spans="1:12" ht="11.25" customHeight="1" x14ac:dyDescent="0.2">
      <c r="A125" s="137" t="s">
        <v>160</v>
      </c>
      <c r="B125" s="138"/>
      <c r="C125" s="138"/>
      <c r="D125" s="138"/>
      <c r="E125" s="139"/>
      <c r="F125" s="26" t="s">
        <v>161</v>
      </c>
      <c r="G125" s="140"/>
      <c r="H125" s="141"/>
      <c r="I125" s="140"/>
      <c r="J125" s="141"/>
      <c r="K125" s="140">
        <v>2500000</v>
      </c>
      <c r="L125" s="141"/>
    </row>
    <row r="126" spans="1:12" ht="11.25" customHeight="1" x14ac:dyDescent="0.2">
      <c r="A126" s="137"/>
      <c r="B126" s="138"/>
      <c r="C126" s="138"/>
      <c r="D126" s="138"/>
      <c r="E126" s="139"/>
      <c r="F126" s="26"/>
      <c r="G126" s="140"/>
      <c r="H126" s="141"/>
      <c r="I126" s="140"/>
      <c r="J126" s="141"/>
      <c r="K126" s="140"/>
      <c r="L126" s="141"/>
    </row>
    <row r="127" spans="1:12" ht="11.25" customHeight="1" x14ac:dyDescent="0.2">
      <c r="A127" s="125"/>
      <c r="B127" s="126"/>
      <c r="C127" s="142" t="s">
        <v>162</v>
      </c>
      <c r="D127" s="143"/>
      <c r="E127" s="143"/>
      <c r="F127" s="143"/>
      <c r="G127" s="143"/>
      <c r="H127" s="143"/>
      <c r="I127" s="143"/>
      <c r="J127" s="144"/>
      <c r="K127" s="108">
        <f>K125</f>
        <v>2500000</v>
      </c>
      <c r="L127" s="145"/>
    </row>
    <row r="128" spans="1:12" ht="11.25" customHeight="1" x14ac:dyDescent="0.2">
      <c r="A128" s="32"/>
      <c r="B128" s="123"/>
      <c r="C128" s="123"/>
      <c r="D128" s="123"/>
      <c r="E128" s="123"/>
      <c r="F128" s="123"/>
      <c r="G128" s="123"/>
      <c r="H128" s="123"/>
      <c r="I128" s="123"/>
      <c r="J128" s="123"/>
      <c r="K128" s="123"/>
      <c r="L128" s="124"/>
    </row>
    <row r="129" spans="1:12" ht="11.25" customHeight="1" thickBot="1" x14ac:dyDescent="0.25">
      <c r="A129" s="121" t="s">
        <v>163</v>
      </c>
      <c r="B129" s="121"/>
      <c r="C129" s="121"/>
      <c r="D129" s="121"/>
      <c r="E129" s="121"/>
      <c r="F129" s="121"/>
      <c r="G129" s="121"/>
      <c r="H129" s="121"/>
      <c r="I129" s="122"/>
      <c r="J129" s="122"/>
      <c r="K129" s="122"/>
      <c r="L129" s="122"/>
    </row>
    <row r="130" spans="1:12" ht="11.25" customHeight="1" thickBot="1" x14ac:dyDescent="0.25">
      <c r="A130" s="37"/>
      <c r="B130" s="4"/>
      <c r="C130" s="127"/>
      <c r="D130" s="127"/>
      <c r="E130" s="127"/>
      <c r="F130" s="127"/>
      <c r="G130" s="127"/>
      <c r="H130" s="127"/>
      <c r="I130" s="131" t="s">
        <v>5</v>
      </c>
      <c r="J130" s="132"/>
      <c r="K130" s="133"/>
      <c r="L130" s="134"/>
    </row>
    <row r="131" spans="1:12" ht="11.25" customHeight="1" x14ac:dyDescent="0.2">
      <c r="A131" s="68"/>
      <c r="B131" s="69"/>
      <c r="C131" s="128" t="s">
        <v>164</v>
      </c>
      <c r="D131" s="129"/>
      <c r="E131" s="129"/>
      <c r="F131" s="129"/>
      <c r="G131" s="129"/>
      <c r="H131" s="130"/>
      <c r="I131" s="46"/>
      <c r="J131" s="46"/>
      <c r="K131" s="135">
        <v>191140.77</v>
      </c>
      <c r="L131" s="136"/>
    </row>
    <row r="132" spans="1:12" ht="11.25" customHeight="1" thickBot="1" x14ac:dyDescent="0.25">
      <c r="A132" s="68"/>
      <c r="B132" s="69"/>
      <c r="C132" s="110" t="s">
        <v>165</v>
      </c>
      <c r="D132" s="111"/>
      <c r="E132" s="111"/>
      <c r="F132" s="111"/>
      <c r="G132" s="111"/>
      <c r="H132" s="112"/>
      <c r="I132" s="63"/>
      <c r="J132" s="63"/>
      <c r="K132" s="113">
        <v>94.18</v>
      </c>
      <c r="L132" s="114"/>
    </row>
    <row r="133" spans="1:12" ht="11.25" customHeight="1" x14ac:dyDescent="0.2">
      <c r="A133" s="68"/>
      <c r="B133" s="69"/>
      <c r="C133" s="69"/>
      <c r="D133" s="69"/>
      <c r="E133" s="69"/>
      <c r="F133" s="69"/>
      <c r="G133" s="69"/>
      <c r="H133" s="69"/>
      <c r="I133" s="69"/>
      <c r="J133" s="69"/>
      <c r="K133" s="69"/>
      <c r="L133" s="70"/>
    </row>
    <row r="134" spans="1:12" ht="11.25" customHeight="1" x14ac:dyDescent="0.2">
      <c r="A134" s="68"/>
      <c r="B134" s="115"/>
      <c r="C134" s="116" t="s">
        <v>166</v>
      </c>
      <c r="D134" s="117"/>
      <c r="E134" s="117"/>
      <c r="F134" s="117"/>
      <c r="G134" s="117"/>
      <c r="H134" s="117"/>
      <c r="I134" s="117"/>
      <c r="J134" s="118"/>
      <c r="K134" s="119">
        <f>K131*K132</f>
        <v>18001637.718600001</v>
      </c>
      <c r="L134" s="120"/>
    </row>
    <row r="135" spans="1:12" ht="11.25" customHeight="1" x14ac:dyDescent="0.2">
      <c r="A135" s="68"/>
      <c r="B135" s="69"/>
      <c r="C135" s="69"/>
      <c r="D135" s="69"/>
      <c r="E135" s="69"/>
      <c r="F135" s="69"/>
      <c r="G135" s="69"/>
      <c r="H135" s="69"/>
      <c r="I135" s="69"/>
      <c r="J135" s="69"/>
      <c r="K135" s="69"/>
      <c r="L135" s="70"/>
    </row>
    <row r="136" spans="1:12" ht="11.25" customHeight="1" x14ac:dyDescent="0.2">
      <c r="A136" s="76" t="s">
        <v>167</v>
      </c>
      <c r="B136" s="76"/>
      <c r="C136" s="76"/>
      <c r="D136" s="76"/>
      <c r="E136" s="76"/>
      <c r="F136" s="76"/>
      <c r="G136" s="76"/>
      <c r="H136" s="76"/>
      <c r="I136" s="76"/>
      <c r="J136" s="76"/>
      <c r="K136" s="76"/>
      <c r="L136" s="76"/>
    </row>
    <row r="137" spans="1:12" ht="11.25" customHeight="1" thickBot="1" x14ac:dyDescent="0.25">
      <c r="A137" s="68"/>
      <c r="B137" s="69"/>
      <c r="C137" s="69"/>
      <c r="D137" s="69"/>
      <c r="E137" s="69"/>
      <c r="F137" s="69"/>
      <c r="G137" s="69"/>
      <c r="H137" s="69"/>
      <c r="I137" s="69"/>
      <c r="J137" s="69"/>
      <c r="K137" s="69"/>
      <c r="L137" s="70"/>
    </row>
    <row r="138" spans="1:12" ht="11.25" customHeight="1" thickBot="1" x14ac:dyDescent="0.25">
      <c r="A138" s="83" t="s">
        <v>168</v>
      </c>
      <c r="B138" s="84"/>
      <c r="C138" s="48" t="s">
        <v>169</v>
      </c>
      <c r="D138" s="102" t="str">
        <f>FIXED(K121,2,FALSE)</f>
        <v>29,680,963.87</v>
      </c>
      <c r="E138" s="102"/>
      <c r="F138" s="103"/>
      <c r="G138" s="290"/>
      <c r="H138" s="4"/>
      <c r="I138" s="85" t="s">
        <v>170</v>
      </c>
      <c r="J138" s="86"/>
      <c r="K138" s="86"/>
      <c r="L138" s="87"/>
    </row>
    <row r="139" spans="1:12" ht="11.25" customHeight="1" x14ac:dyDescent="0.2">
      <c r="A139" s="96" t="s">
        <v>174</v>
      </c>
      <c r="B139" s="97"/>
      <c r="C139" s="47" t="s">
        <v>169</v>
      </c>
      <c r="D139" s="104" t="str">
        <f>FIXED(K127,2,FALSE)</f>
        <v>2,500,000.00</v>
      </c>
      <c r="E139" s="104"/>
      <c r="F139" s="105"/>
      <c r="G139" s="290"/>
      <c r="H139" s="4"/>
      <c r="I139" s="88" t="s">
        <v>171</v>
      </c>
      <c r="J139" s="89"/>
      <c r="K139" s="94">
        <f>+K140-(D141*0.1)</f>
        <v>45164341.431000002</v>
      </c>
      <c r="L139" s="95"/>
    </row>
    <row r="140" spans="1:12" ht="11.25" customHeight="1" x14ac:dyDescent="0.2">
      <c r="A140" s="98" t="s">
        <v>175</v>
      </c>
      <c r="B140" s="99"/>
      <c r="C140" s="3" t="s">
        <v>169</v>
      </c>
      <c r="D140" s="104" t="str">
        <f>FIXED(K134,2,FALSE)</f>
        <v>18,001,637.72</v>
      </c>
      <c r="E140" s="104"/>
      <c r="F140" s="105"/>
      <c r="G140" s="290"/>
      <c r="H140" s="4"/>
      <c r="I140" s="90" t="s">
        <v>172</v>
      </c>
      <c r="J140" s="91"/>
      <c r="K140" s="108">
        <f>D141</f>
        <v>50182601.590000004</v>
      </c>
      <c r="L140" s="109"/>
    </row>
    <row r="141" spans="1:12" ht="11.25" customHeight="1" thickBot="1" x14ac:dyDescent="0.25">
      <c r="A141" s="100" t="s">
        <v>176</v>
      </c>
      <c r="B141" s="101"/>
      <c r="C141" s="49" t="s">
        <v>169</v>
      </c>
      <c r="D141" s="106">
        <f>D138+D139+D140</f>
        <v>50182601.590000004</v>
      </c>
      <c r="E141" s="106"/>
      <c r="F141" s="107"/>
      <c r="G141" s="289"/>
      <c r="H141" s="4"/>
      <c r="I141" s="92" t="s">
        <v>173</v>
      </c>
      <c r="J141" s="93"/>
      <c r="K141" s="71">
        <f>SUM(+K140*1.25)</f>
        <v>62728251.987500004</v>
      </c>
      <c r="L141" s="72"/>
    </row>
    <row r="142" spans="1:12" ht="11.25" customHeight="1" thickBot="1" x14ac:dyDescent="0.25">
      <c r="A142" s="68"/>
      <c r="B142" s="69"/>
      <c r="C142" s="69"/>
      <c r="D142" s="69"/>
      <c r="E142" s="69"/>
      <c r="F142" s="69"/>
      <c r="G142" s="69"/>
      <c r="H142" s="69"/>
      <c r="I142" s="69"/>
      <c r="J142" s="69"/>
      <c r="K142" s="69"/>
      <c r="L142" s="70"/>
    </row>
    <row r="143" spans="1:12" s="51" customFormat="1" ht="22.5" customHeight="1" thickBot="1" x14ac:dyDescent="0.25">
      <c r="A143" s="73" t="str">
        <f>CONCATENATE("AVALUO COMERCIAL DE LA UNIVERSIDAD ES DE  $ ",FIXED(K140,2,FALSE),";    VALOR DE OPORTUNIDAD $  ",FIXED(K139,2,FALSE))</f>
        <v>AVALUO COMERCIAL DE LA UNIVERSIDAD ES DE  $ 50,182,601.59;    VALOR DE OPORTUNIDAD $  45,164,341.43</v>
      </c>
      <c r="B143" s="74"/>
      <c r="C143" s="74"/>
      <c r="D143" s="74"/>
      <c r="E143" s="74"/>
      <c r="F143" s="74"/>
      <c r="G143" s="74"/>
      <c r="H143" s="74"/>
      <c r="I143" s="74"/>
      <c r="J143" s="74"/>
      <c r="K143" s="75"/>
      <c r="L143" s="50"/>
    </row>
    <row r="144" spans="1:12" ht="11.25" customHeight="1" thickBot="1" x14ac:dyDescent="0.25">
      <c r="A144" s="68"/>
      <c r="B144" s="69"/>
      <c r="C144" s="69"/>
      <c r="D144" s="69"/>
      <c r="E144" s="69"/>
      <c r="F144" s="69"/>
      <c r="G144" s="69"/>
      <c r="H144" s="69"/>
      <c r="I144" s="69"/>
      <c r="J144" s="69"/>
      <c r="K144" s="69"/>
      <c r="L144" s="70"/>
    </row>
    <row r="145" spans="1:12" ht="22.5" customHeight="1" thickBot="1" x14ac:dyDescent="0.25">
      <c r="A145" s="37"/>
      <c r="B145" s="56"/>
      <c r="C145" s="52"/>
      <c r="D145" s="55" t="s">
        <v>177</v>
      </c>
      <c r="E145" s="54"/>
      <c r="F145" s="55" t="s">
        <v>178</v>
      </c>
      <c r="G145" s="55"/>
      <c r="H145" s="53"/>
      <c r="I145" s="54" t="s">
        <v>179</v>
      </c>
      <c r="J145" s="45"/>
      <c r="K145" s="288">
        <v>3</v>
      </c>
      <c r="L145" s="10"/>
    </row>
    <row r="146" spans="1:12" ht="11.25" customHeight="1" x14ac:dyDescent="0.2">
      <c r="A146" s="68"/>
      <c r="B146" s="69"/>
      <c r="C146" s="69"/>
      <c r="D146" s="69"/>
      <c r="E146" s="69"/>
      <c r="F146" s="69"/>
      <c r="G146" s="69"/>
      <c r="H146" s="69"/>
      <c r="I146" s="69"/>
      <c r="J146" s="69"/>
      <c r="K146" s="69"/>
      <c r="L146" s="70"/>
    </row>
    <row r="147" spans="1:12" ht="11.25" customHeight="1" x14ac:dyDescent="0.2">
      <c r="A147" s="76" t="s">
        <v>181</v>
      </c>
      <c r="B147" s="76"/>
      <c r="C147" s="76"/>
      <c r="D147" s="76"/>
      <c r="E147" s="76"/>
      <c r="F147" s="76"/>
      <c r="G147" s="76"/>
      <c r="H147" s="76"/>
      <c r="I147" s="76"/>
      <c r="J147" s="76"/>
      <c r="K147" s="76"/>
      <c r="L147" s="76"/>
    </row>
    <row r="148" spans="1:12" ht="45" customHeight="1" x14ac:dyDescent="0.2">
      <c r="A148" s="77" t="s">
        <v>180</v>
      </c>
      <c r="B148" s="78"/>
      <c r="C148" s="78"/>
      <c r="D148" s="78"/>
      <c r="E148" s="78"/>
      <c r="F148" s="78"/>
      <c r="G148" s="78"/>
      <c r="H148" s="78"/>
      <c r="I148" s="78"/>
      <c r="J148" s="78"/>
      <c r="K148" s="78"/>
      <c r="L148" s="79"/>
    </row>
    <row r="149" spans="1:12" ht="11.25" customHeight="1" x14ac:dyDescent="0.2">
      <c r="A149" s="76" t="s">
        <v>182</v>
      </c>
      <c r="B149" s="76"/>
      <c r="C149" s="76"/>
      <c r="D149" s="76"/>
      <c r="E149" s="76"/>
      <c r="F149" s="76"/>
      <c r="G149" s="76"/>
      <c r="H149" s="76"/>
      <c r="I149" s="76"/>
      <c r="J149" s="76"/>
      <c r="K149" s="76"/>
      <c r="L149" s="76"/>
    </row>
    <row r="150" spans="1:12" ht="45" customHeight="1" x14ac:dyDescent="0.2">
      <c r="A150" s="80" t="s">
        <v>183</v>
      </c>
      <c r="B150" s="81"/>
      <c r="C150" s="81"/>
      <c r="D150" s="81"/>
      <c r="E150" s="81"/>
      <c r="F150" s="81"/>
      <c r="G150" s="81"/>
      <c r="H150" s="81"/>
      <c r="I150" s="81"/>
      <c r="J150" s="81"/>
      <c r="K150" s="81"/>
      <c r="L150" s="82"/>
    </row>
    <row r="152" spans="1:12" ht="12.75" x14ac:dyDescent="0.2">
      <c r="A152" s="44"/>
      <c r="B152" s="57"/>
      <c r="C152" s="57"/>
      <c r="D152" s="44"/>
      <c r="E152" s="57"/>
      <c r="F152" s="57"/>
    </row>
    <row r="153" spans="1:12" ht="12.75" x14ac:dyDescent="0.2">
      <c r="A153" s="57"/>
      <c r="B153" s="57"/>
      <c r="C153" s="57"/>
      <c r="D153" s="57"/>
      <c r="E153" s="57"/>
      <c r="F153" s="57"/>
    </row>
    <row r="154" spans="1:12" ht="12.75" x14ac:dyDescent="0.2">
      <c r="A154" s="44"/>
      <c r="B154" s="58" t="s">
        <v>184</v>
      </c>
      <c r="C154" s="58"/>
      <c r="D154" s="58"/>
      <c r="E154" s="59"/>
      <c r="F154" s="57"/>
    </row>
    <row r="155" spans="1:12" ht="12.75" x14ac:dyDescent="0.2">
      <c r="A155" s="44" t="s">
        <v>185</v>
      </c>
      <c r="B155" s="60"/>
      <c r="C155" s="60"/>
      <c r="D155" s="61"/>
      <c r="E155" s="62"/>
      <c r="F155" s="57"/>
    </row>
    <row r="156" spans="1:12" ht="12.75" x14ac:dyDescent="0.2">
      <c r="A156" s="44" t="s">
        <v>186</v>
      </c>
      <c r="B156" s="57"/>
      <c r="C156" s="57"/>
      <c r="D156" s="44"/>
      <c r="E156" s="57"/>
      <c r="F156" s="57"/>
    </row>
    <row r="157" spans="1:12" ht="12.75" x14ac:dyDescent="0.2">
      <c r="A157" s="44" t="s">
        <v>187</v>
      </c>
      <c r="B157" s="57"/>
      <c r="C157" s="57"/>
      <c r="D157" s="57"/>
      <c r="E157" s="57"/>
      <c r="F157" s="57"/>
    </row>
  </sheetData>
  <mergeCells count="359">
    <mergeCell ref="G37:H37"/>
    <mergeCell ref="A33:B33"/>
    <mergeCell ref="A34:B34"/>
    <mergeCell ref="A35:B35"/>
    <mergeCell ref="A36:B36"/>
    <mergeCell ref="A37:B37"/>
    <mergeCell ref="C114:D114"/>
    <mergeCell ref="C22:L22"/>
    <mergeCell ref="A12:L12"/>
    <mergeCell ref="A15:B15"/>
    <mergeCell ref="A14:L14"/>
    <mergeCell ref="A40:L40"/>
    <mergeCell ref="A41:L41"/>
    <mergeCell ref="A32:C32"/>
    <mergeCell ref="A47:L47"/>
    <mergeCell ref="A46:L46"/>
    <mergeCell ref="A21:B21"/>
    <mergeCell ref="C20:F20"/>
    <mergeCell ref="C21:F21"/>
    <mergeCell ref="J20:L20"/>
    <mergeCell ref="J21:L21"/>
    <mergeCell ref="G20:I20"/>
    <mergeCell ref="G21:I21"/>
    <mergeCell ref="A17:L17"/>
    <mergeCell ref="A18:B18"/>
    <mergeCell ref="D18:E18"/>
    <mergeCell ref="G18:H18"/>
    <mergeCell ref="A19:I19"/>
    <mergeCell ref="J18:L18"/>
    <mergeCell ref="E9:F9"/>
    <mergeCell ref="G9:H9"/>
    <mergeCell ref="A9:B9"/>
    <mergeCell ref="I9:L9"/>
    <mergeCell ref="C9:D9"/>
    <mergeCell ref="B56:I56"/>
    <mergeCell ref="J56:L56"/>
    <mergeCell ref="B57:I57"/>
    <mergeCell ref="B62:I62"/>
    <mergeCell ref="J62:L62"/>
    <mergeCell ref="A42:L42"/>
    <mergeCell ref="A43:L43"/>
    <mergeCell ref="A44:L44"/>
    <mergeCell ref="A38:L38"/>
    <mergeCell ref="J37:K37"/>
    <mergeCell ref="D36:E36"/>
    <mergeCell ref="D37:E37"/>
    <mergeCell ref="A39:L39"/>
    <mergeCell ref="A22:B22"/>
    <mergeCell ref="A11:L11"/>
    <mergeCell ref="A13:L13"/>
    <mergeCell ref="D15:E15"/>
    <mergeCell ref="G15:H15"/>
    <mergeCell ref="J15:K15"/>
    <mergeCell ref="A16:B16"/>
    <mergeCell ref="G16:H16"/>
    <mergeCell ref="D16:F16"/>
    <mergeCell ref="I16:L16"/>
    <mergeCell ref="J19:L19"/>
    <mergeCell ref="A20:B20"/>
    <mergeCell ref="B28:L28"/>
    <mergeCell ref="B29:C29"/>
    <mergeCell ref="E29:F29"/>
    <mergeCell ref="K29:L29"/>
    <mergeCell ref="H29:I29"/>
    <mergeCell ref="A31:L31"/>
    <mergeCell ref="A30:L30"/>
    <mergeCell ref="A23:L23"/>
    <mergeCell ref="A24:L24"/>
    <mergeCell ref="A25:L25"/>
    <mergeCell ref="A26:L26"/>
    <mergeCell ref="B27:F27"/>
    <mergeCell ref="H27:L27"/>
    <mergeCell ref="A45:L45"/>
    <mergeCell ref="J50:K50"/>
    <mergeCell ref="G32:I32"/>
    <mergeCell ref="J33:K33"/>
    <mergeCell ref="J34:K34"/>
    <mergeCell ref="J35:K35"/>
    <mergeCell ref="J32:K32"/>
    <mergeCell ref="D32:E32"/>
    <mergeCell ref="D33:E33"/>
    <mergeCell ref="D34:E34"/>
    <mergeCell ref="D35:E35"/>
    <mergeCell ref="A48:L48"/>
    <mergeCell ref="A50:B50"/>
    <mergeCell ref="A49:G49"/>
    <mergeCell ref="J49:L49"/>
    <mergeCell ref="H49:I49"/>
    <mergeCell ref="G33:H33"/>
    <mergeCell ref="G34:H34"/>
    <mergeCell ref="G35:H35"/>
    <mergeCell ref="G36:H36"/>
    <mergeCell ref="J57:L57"/>
    <mergeCell ref="J58:L58"/>
    <mergeCell ref="A58:I58"/>
    <mergeCell ref="A60:I60"/>
    <mergeCell ref="J60:L60"/>
    <mergeCell ref="B61:I61"/>
    <mergeCell ref="J61:L61"/>
    <mergeCell ref="C51:D51"/>
    <mergeCell ref="C50:D50"/>
    <mergeCell ref="A59:L59"/>
    <mergeCell ref="A52:L52"/>
    <mergeCell ref="J53:L53"/>
    <mergeCell ref="J54:L54"/>
    <mergeCell ref="J55:L55"/>
    <mergeCell ref="A53:I53"/>
    <mergeCell ref="B54:I54"/>
    <mergeCell ref="B55:I55"/>
    <mergeCell ref="J51:K51"/>
    <mergeCell ref="A51:B51"/>
    <mergeCell ref="B63:I63"/>
    <mergeCell ref="J63:L63"/>
    <mergeCell ref="B64:I64"/>
    <mergeCell ref="J64:L64"/>
    <mergeCell ref="A65:I65"/>
    <mergeCell ref="J65:L65"/>
    <mergeCell ref="A66:L66"/>
    <mergeCell ref="A67:I67"/>
    <mergeCell ref="J67:L67"/>
    <mergeCell ref="B68:I68"/>
    <mergeCell ref="J68:L68"/>
    <mergeCell ref="B69:I69"/>
    <mergeCell ref="J69:L69"/>
    <mergeCell ref="B70:I70"/>
    <mergeCell ref="J70:L70"/>
    <mergeCell ref="B71:I71"/>
    <mergeCell ref="J71:L71"/>
    <mergeCell ref="A72:I72"/>
    <mergeCell ref="J72:L72"/>
    <mergeCell ref="C109:D109"/>
    <mergeCell ref="C110:D110"/>
    <mergeCell ref="C111:D111"/>
    <mergeCell ref="C112:D112"/>
    <mergeCell ref="C113:D113"/>
    <mergeCell ref="A73:L73"/>
    <mergeCell ref="A74:L74"/>
    <mergeCell ref="A75:L75"/>
    <mergeCell ref="A76:L76"/>
    <mergeCell ref="A77:L77"/>
    <mergeCell ref="A78:L78"/>
    <mergeCell ref="K79:L79"/>
    <mergeCell ref="I79:J79"/>
    <mergeCell ref="I80:J80"/>
    <mergeCell ref="K80:L80"/>
    <mergeCell ref="C79:D79"/>
    <mergeCell ref="C80:D80"/>
    <mergeCell ref="E80:F80"/>
    <mergeCell ref="E79:F79"/>
    <mergeCell ref="C100:D100"/>
    <mergeCell ref="C101:D101"/>
    <mergeCell ref="C102:D102"/>
    <mergeCell ref="C103:D103"/>
    <mergeCell ref="C104:D104"/>
    <mergeCell ref="C105:D105"/>
    <mergeCell ref="C106:D106"/>
    <mergeCell ref="C107:D107"/>
    <mergeCell ref="C108:D108"/>
    <mergeCell ref="C91:D91"/>
    <mergeCell ref="C92:D92"/>
    <mergeCell ref="C93:D93"/>
    <mergeCell ref="C94:D94"/>
    <mergeCell ref="C95:D95"/>
    <mergeCell ref="C96:D96"/>
    <mergeCell ref="C97:D97"/>
    <mergeCell ref="C98:D98"/>
    <mergeCell ref="C99:D99"/>
    <mergeCell ref="C82:D82"/>
    <mergeCell ref="C83:D83"/>
    <mergeCell ref="C84:D84"/>
    <mergeCell ref="C85:D85"/>
    <mergeCell ref="C86:D86"/>
    <mergeCell ref="C87:D87"/>
    <mergeCell ref="C88:D88"/>
    <mergeCell ref="C89:D89"/>
    <mergeCell ref="C90:D90"/>
    <mergeCell ref="C115:D115"/>
    <mergeCell ref="C116:D116"/>
    <mergeCell ref="C117:D117"/>
    <mergeCell ref="C118:D118"/>
    <mergeCell ref="C119:D119"/>
    <mergeCell ref="E81:F81"/>
    <mergeCell ref="E82:F82"/>
    <mergeCell ref="E83:F83"/>
    <mergeCell ref="E84:F84"/>
    <mergeCell ref="E85:F85"/>
    <mergeCell ref="E86:F86"/>
    <mergeCell ref="E87:F87"/>
    <mergeCell ref="E88:F88"/>
    <mergeCell ref="E89:F89"/>
    <mergeCell ref="E91:F91"/>
    <mergeCell ref="E90:F90"/>
    <mergeCell ref="E92:F92"/>
    <mergeCell ref="E93:F93"/>
    <mergeCell ref="E94:F94"/>
    <mergeCell ref="E95:F95"/>
    <mergeCell ref="E96:F96"/>
    <mergeCell ref="E97:F97"/>
    <mergeCell ref="E98:F98"/>
    <mergeCell ref="C81:D81"/>
    <mergeCell ref="E99:F99"/>
    <mergeCell ref="E100:F100"/>
    <mergeCell ref="E101:F101"/>
    <mergeCell ref="E102:F102"/>
    <mergeCell ref="E103:F103"/>
    <mergeCell ref="E104:F104"/>
    <mergeCell ref="E105:F105"/>
    <mergeCell ref="E106:F106"/>
    <mergeCell ref="E107:F107"/>
    <mergeCell ref="E108:F108"/>
    <mergeCell ref="E109:F109"/>
    <mergeCell ref="E110:F110"/>
    <mergeCell ref="E111:F111"/>
    <mergeCell ref="E112:F112"/>
    <mergeCell ref="E113:F113"/>
    <mergeCell ref="E114:F114"/>
    <mergeCell ref="E115:F115"/>
    <mergeCell ref="E116:F116"/>
    <mergeCell ref="E117:F117"/>
    <mergeCell ref="I81:J81"/>
    <mergeCell ref="I82:J82"/>
    <mergeCell ref="I83:J83"/>
    <mergeCell ref="I84:J84"/>
    <mergeCell ref="I85:J85"/>
    <mergeCell ref="I86:J86"/>
    <mergeCell ref="I87:J87"/>
    <mergeCell ref="I88:J88"/>
    <mergeCell ref="I89:J89"/>
    <mergeCell ref="I90:J90"/>
    <mergeCell ref="I91:J91"/>
    <mergeCell ref="I92:J92"/>
    <mergeCell ref="I93:J93"/>
    <mergeCell ref="I94:J94"/>
    <mergeCell ref="I95:J95"/>
    <mergeCell ref="I96:J96"/>
    <mergeCell ref="I97:J97"/>
    <mergeCell ref="I98:J98"/>
    <mergeCell ref="I99:J99"/>
    <mergeCell ref="I100:J100"/>
    <mergeCell ref="I101:J101"/>
    <mergeCell ref="I102:J102"/>
    <mergeCell ref="I103:J103"/>
    <mergeCell ref="I104:J104"/>
    <mergeCell ref="I105:J105"/>
    <mergeCell ref="I106:J106"/>
    <mergeCell ref="I107:J107"/>
    <mergeCell ref="I108:J108"/>
    <mergeCell ref="I109:J109"/>
    <mergeCell ref="I110:J110"/>
    <mergeCell ref="I111:J111"/>
    <mergeCell ref="I112:J112"/>
    <mergeCell ref="I113:J113"/>
    <mergeCell ref="I114:J114"/>
    <mergeCell ref="I115:J115"/>
    <mergeCell ref="I116:J116"/>
    <mergeCell ref="I117:J117"/>
    <mergeCell ref="K81:L81"/>
    <mergeCell ref="K82:L82"/>
    <mergeCell ref="K83:L83"/>
    <mergeCell ref="K84:L84"/>
    <mergeCell ref="K85:L85"/>
    <mergeCell ref="K86:L86"/>
    <mergeCell ref="K87:L87"/>
    <mergeCell ref="K88:L88"/>
    <mergeCell ref="K89:L89"/>
    <mergeCell ref="K90:L90"/>
    <mergeCell ref="K91:L91"/>
    <mergeCell ref="K92:L92"/>
    <mergeCell ref="K93:L93"/>
    <mergeCell ref="K94:L94"/>
    <mergeCell ref="K95:L95"/>
    <mergeCell ref="K96:L96"/>
    <mergeCell ref="K97:L97"/>
    <mergeCell ref="K98:L98"/>
    <mergeCell ref="K99:L99"/>
    <mergeCell ref="K100:L100"/>
    <mergeCell ref="K101:L101"/>
    <mergeCell ref="K102:L102"/>
    <mergeCell ref="K103:L103"/>
    <mergeCell ref="K104:L104"/>
    <mergeCell ref="K105:L105"/>
    <mergeCell ref="K106:L106"/>
    <mergeCell ref="K107:L107"/>
    <mergeCell ref="K108:L108"/>
    <mergeCell ref="K109:L109"/>
    <mergeCell ref="K110:L110"/>
    <mergeCell ref="K111:L111"/>
    <mergeCell ref="K112:L112"/>
    <mergeCell ref="K113:L113"/>
    <mergeCell ref="K114:L114"/>
    <mergeCell ref="K115:L115"/>
    <mergeCell ref="K116:L116"/>
    <mergeCell ref="K117:L117"/>
    <mergeCell ref="K119:L119"/>
    <mergeCell ref="E118:F118"/>
    <mergeCell ref="I118:J118"/>
    <mergeCell ref="K118:L118"/>
    <mergeCell ref="A120:L120"/>
    <mergeCell ref="K121:L121"/>
    <mergeCell ref="C121:J121"/>
    <mergeCell ref="A123:L123"/>
    <mergeCell ref="K124:L124"/>
    <mergeCell ref="I124:J124"/>
    <mergeCell ref="G124:H124"/>
    <mergeCell ref="A124:E124"/>
    <mergeCell ref="B122:L122"/>
    <mergeCell ref="A121:B121"/>
    <mergeCell ref="A125:E125"/>
    <mergeCell ref="G125:H125"/>
    <mergeCell ref="I125:J125"/>
    <mergeCell ref="K125:L125"/>
    <mergeCell ref="A126:E126"/>
    <mergeCell ref="G126:H126"/>
    <mergeCell ref="I126:J126"/>
    <mergeCell ref="K126:L126"/>
    <mergeCell ref="C127:J127"/>
    <mergeCell ref="K127:L127"/>
    <mergeCell ref="A129:L129"/>
    <mergeCell ref="B128:L128"/>
    <mergeCell ref="A127:B127"/>
    <mergeCell ref="C130:H130"/>
    <mergeCell ref="C131:H131"/>
    <mergeCell ref="I130:J130"/>
    <mergeCell ref="K130:L130"/>
    <mergeCell ref="K131:L131"/>
    <mergeCell ref="A131:B131"/>
    <mergeCell ref="C132:H132"/>
    <mergeCell ref="K132:L132"/>
    <mergeCell ref="A133:L133"/>
    <mergeCell ref="A132:B132"/>
    <mergeCell ref="A134:B134"/>
    <mergeCell ref="C134:J134"/>
    <mergeCell ref="K134:L134"/>
    <mergeCell ref="A135:L135"/>
    <mergeCell ref="A136:L136"/>
    <mergeCell ref="A142:L142"/>
    <mergeCell ref="K141:L141"/>
    <mergeCell ref="A137:L137"/>
    <mergeCell ref="A143:K143"/>
    <mergeCell ref="A144:L144"/>
    <mergeCell ref="A146:L146"/>
    <mergeCell ref="A147:L147"/>
    <mergeCell ref="A148:L148"/>
    <mergeCell ref="A150:L150"/>
    <mergeCell ref="A149:L149"/>
    <mergeCell ref="A138:B138"/>
    <mergeCell ref="I138:L138"/>
    <mergeCell ref="I139:J139"/>
    <mergeCell ref="I140:J140"/>
    <mergeCell ref="I141:J141"/>
    <mergeCell ref="K139:L139"/>
    <mergeCell ref="A139:B139"/>
    <mergeCell ref="A140:B140"/>
    <mergeCell ref="A141:B141"/>
    <mergeCell ref="D138:F138"/>
    <mergeCell ref="D139:F139"/>
    <mergeCell ref="D140:F140"/>
    <mergeCell ref="D141:F141"/>
    <mergeCell ref="K140:L14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 r:id="rId4" name="Button 23">
              <controlPr defaultSize="0" print="0" autoFill="0" autoPict="0" macro="[0]!Agregar_Fila_Anterior">
                <anchor moveWithCells="1" sizeWithCells="1">
                  <from>
                    <xdr:col>12</xdr:col>
                    <xdr:colOff>19050</xdr:colOff>
                    <xdr:row>118</xdr:row>
                    <xdr:rowOff>38100</xdr:rowOff>
                  </from>
                  <to>
                    <xdr:col>15</xdr:col>
                    <xdr:colOff>9525</xdr:colOff>
                    <xdr:row>119</xdr:row>
                    <xdr:rowOff>19050</xdr:rowOff>
                  </to>
                </anchor>
              </controlPr>
            </control>
          </mc:Choice>
        </mc:AlternateContent>
        <mc:AlternateContent xmlns:mc="http://schemas.openxmlformats.org/markup-compatibility/2006">
          <mc:Choice Requires="x14">
            <control shapeId="1048" r:id="rId5" name="Button 24">
              <controlPr defaultSize="0" print="0" autoFill="0" autoPict="0" macro="[0]!Borrar_Fila_Anterior">
                <anchor moveWithCells="1" sizeWithCells="1">
                  <from>
                    <xdr:col>15</xdr:col>
                    <xdr:colOff>57150</xdr:colOff>
                    <xdr:row>118</xdr:row>
                    <xdr:rowOff>38100</xdr:rowOff>
                  </from>
                  <to>
                    <xdr:col>18</xdr:col>
                    <xdr:colOff>47625</xdr:colOff>
                    <xdr:row>119</xdr:row>
                    <xdr:rowOff>19050</xdr:rowOff>
                  </to>
                </anchor>
              </controlPr>
            </control>
          </mc:Choice>
        </mc:AlternateContent>
        <mc:AlternateContent xmlns:mc="http://schemas.openxmlformats.org/markup-compatibility/2006">
          <mc:Choice Requires="x14">
            <control shapeId="1058" r:id="rId6" name="Check Box 34">
              <controlPr defaultSize="0" autoFill="0" autoLine="0" autoPict="0">
                <anchor moveWithCells="1">
                  <from>
                    <xdr:col>2</xdr:col>
                    <xdr:colOff>85725</xdr:colOff>
                    <xdr:row>14</xdr:row>
                    <xdr:rowOff>19050</xdr:rowOff>
                  </from>
                  <to>
                    <xdr:col>2</xdr:col>
                    <xdr:colOff>381000</xdr:colOff>
                    <xdr:row>14</xdr:row>
                    <xdr:rowOff>228600</xdr:rowOff>
                  </to>
                </anchor>
              </controlPr>
            </control>
          </mc:Choice>
        </mc:AlternateContent>
        <mc:AlternateContent xmlns:mc="http://schemas.openxmlformats.org/markup-compatibility/2006">
          <mc:Choice Requires="x14">
            <control shapeId="1060" r:id="rId7" name="Check Box 36">
              <controlPr defaultSize="0" autoFill="0" autoLine="0" autoPict="0">
                <anchor moveWithCells="1">
                  <from>
                    <xdr:col>5</xdr:col>
                    <xdr:colOff>9525</xdr:colOff>
                    <xdr:row>14</xdr:row>
                    <xdr:rowOff>28575</xdr:rowOff>
                  </from>
                  <to>
                    <xdr:col>5</xdr:col>
                    <xdr:colOff>304800</xdr:colOff>
                    <xdr:row>14</xdr:row>
                    <xdr:rowOff>238125</xdr:rowOff>
                  </to>
                </anchor>
              </controlPr>
            </control>
          </mc:Choice>
        </mc:AlternateContent>
        <mc:AlternateContent xmlns:mc="http://schemas.openxmlformats.org/markup-compatibility/2006">
          <mc:Choice Requires="x14">
            <control shapeId="1061" r:id="rId8" name="Check Box 37">
              <controlPr defaultSize="0" autoFill="0" autoLine="0" autoPict="0">
                <anchor moveWithCells="1">
                  <from>
                    <xdr:col>8</xdr:col>
                    <xdr:colOff>171450</xdr:colOff>
                    <xdr:row>14</xdr:row>
                    <xdr:rowOff>28575</xdr:rowOff>
                  </from>
                  <to>
                    <xdr:col>8</xdr:col>
                    <xdr:colOff>466725</xdr:colOff>
                    <xdr:row>14</xdr:row>
                    <xdr:rowOff>238125</xdr:rowOff>
                  </to>
                </anchor>
              </controlPr>
            </control>
          </mc:Choice>
        </mc:AlternateContent>
        <mc:AlternateContent xmlns:mc="http://schemas.openxmlformats.org/markup-compatibility/2006">
          <mc:Choice Requires="x14">
            <control shapeId="1062" r:id="rId9" name="Check Box 38">
              <controlPr defaultSize="0" autoFill="0" autoLine="0" autoPict="0">
                <anchor moveWithCells="1">
                  <from>
                    <xdr:col>11</xdr:col>
                    <xdr:colOff>123825</xdr:colOff>
                    <xdr:row>14</xdr:row>
                    <xdr:rowOff>28575</xdr:rowOff>
                  </from>
                  <to>
                    <xdr:col>11</xdr:col>
                    <xdr:colOff>419100</xdr:colOff>
                    <xdr:row>14</xdr:row>
                    <xdr:rowOff>247650</xdr:rowOff>
                  </to>
                </anchor>
              </controlPr>
            </control>
          </mc:Choice>
        </mc:AlternateContent>
        <mc:AlternateContent xmlns:mc="http://schemas.openxmlformats.org/markup-compatibility/2006">
          <mc:Choice Requires="x14">
            <control shapeId="1064" r:id="rId10" name="Check Box 40">
              <controlPr defaultSize="0" autoFill="0" autoLine="0" autoPict="0">
                <anchor moveWithCells="1">
                  <from>
                    <xdr:col>5</xdr:col>
                    <xdr:colOff>19050</xdr:colOff>
                    <xdr:row>16</xdr:row>
                    <xdr:rowOff>133350</xdr:rowOff>
                  </from>
                  <to>
                    <xdr:col>5</xdr:col>
                    <xdr:colOff>314325</xdr:colOff>
                    <xdr:row>18</xdr:row>
                    <xdr:rowOff>9525</xdr:rowOff>
                  </to>
                </anchor>
              </controlPr>
            </control>
          </mc:Choice>
        </mc:AlternateContent>
        <mc:AlternateContent xmlns:mc="http://schemas.openxmlformats.org/markup-compatibility/2006">
          <mc:Choice Requires="x14">
            <control shapeId="1065" r:id="rId11" name="Check Box 41">
              <controlPr defaultSize="0" autoFill="0" autoLine="0" autoPict="0">
                <anchor moveWithCells="1">
                  <from>
                    <xdr:col>8</xdr:col>
                    <xdr:colOff>180975</xdr:colOff>
                    <xdr:row>16</xdr:row>
                    <xdr:rowOff>133350</xdr:rowOff>
                  </from>
                  <to>
                    <xdr:col>8</xdr:col>
                    <xdr:colOff>476250</xdr:colOff>
                    <xdr:row>18</xdr:row>
                    <xdr:rowOff>9525</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180975</xdr:colOff>
                    <xdr:row>31</xdr:row>
                    <xdr:rowOff>104775</xdr:rowOff>
                  </from>
                  <to>
                    <xdr:col>2</xdr:col>
                    <xdr:colOff>495300</xdr:colOff>
                    <xdr:row>33</xdr:row>
                    <xdr:rowOff>28575</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180975</xdr:colOff>
                    <xdr:row>32</xdr:row>
                    <xdr:rowOff>104775</xdr:rowOff>
                  </from>
                  <to>
                    <xdr:col>2</xdr:col>
                    <xdr:colOff>495300</xdr:colOff>
                    <xdr:row>34</xdr:row>
                    <xdr:rowOff>28575</xdr:rowOff>
                  </to>
                </anchor>
              </controlPr>
            </control>
          </mc:Choice>
        </mc:AlternateContent>
        <mc:AlternateContent xmlns:mc="http://schemas.openxmlformats.org/markup-compatibility/2006">
          <mc:Choice Requires="x14">
            <control shapeId="1078" r:id="rId14" name="Check Box 54">
              <controlPr defaultSize="0" autoFill="0" autoLine="0" autoPict="0">
                <anchor moveWithCells="1">
                  <from>
                    <xdr:col>2</xdr:col>
                    <xdr:colOff>180975</xdr:colOff>
                    <xdr:row>33</xdr:row>
                    <xdr:rowOff>104775</xdr:rowOff>
                  </from>
                  <to>
                    <xdr:col>2</xdr:col>
                    <xdr:colOff>495300</xdr:colOff>
                    <xdr:row>35</xdr:row>
                    <xdr:rowOff>28575</xdr:rowOff>
                  </to>
                </anchor>
              </controlPr>
            </control>
          </mc:Choice>
        </mc:AlternateContent>
        <mc:AlternateContent xmlns:mc="http://schemas.openxmlformats.org/markup-compatibility/2006">
          <mc:Choice Requires="x14">
            <control shapeId="1079" r:id="rId15" name="Check Box 55">
              <controlPr defaultSize="0" autoFill="0" autoLine="0" autoPict="0" macro="[0]!Casilla55_Haga_clic_en">
                <anchor moveWithCells="1">
                  <from>
                    <xdr:col>8</xdr:col>
                    <xdr:colOff>85725</xdr:colOff>
                    <xdr:row>31</xdr:row>
                    <xdr:rowOff>95250</xdr:rowOff>
                  </from>
                  <to>
                    <xdr:col>8</xdr:col>
                    <xdr:colOff>447675</xdr:colOff>
                    <xdr:row>33</xdr:row>
                    <xdr:rowOff>38100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8</xdr:col>
                    <xdr:colOff>76200</xdr:colOff>
                    <xdr:row>32</xdr:row>
                    <xdr:rowOff>85725</xdr:rowOff>
                  </from>
                  <to>
                    <xdr:col>8</xdr:col>
                    <xdr:colOff>438150</xdr:colOff>
                    <xdr:row>34</xdr:row>
                    <xdr:rowOff>28575</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8</xdr:col>
                    <xdr:colOff>76200</xdr:colOff>
                    <xdr:row>33</xdr:row>
                    <xdr:rowOff>85725</xdr:rowOff>
                  </from>
                  <to>
                    <xdr:col>8</xdr:col>
                    <xdr:colOff>438150</xdr:colOff>
                    <xdr:row>35</xdr:row>
                    <xdr:rowOff>28575</xdr:rowOff>
                  </to>
                </anchor>
              </controlPr>
            </control>
          </mc:Choice>
        </mc:AlternateContent>
        <mc:AlternateContent xmlns:mc="http://schemas.openxmlformats.org/markup-compatibility/2006">
          <mc:Choice Requires="x14">
            <control shapeId="1082" r:id="rId18" name="Check Box 58">
              <controlPr defaultSize="0" autoFill="0" autoLine="0" autoPict="0">
                <anchor moveWithCells="1">
                  <from>
                    <xdr:col>2</xdr:col>
                    <xdr:colOff>190500</xdr:colOff>
                    <xdr:row>34</xdr:row>
                    <xdr:rowOff>114300</xdr:rowOff>
                  </from>
                  <to>
                    <xdr:col>2</xdr:col>
                    <xdr:colOff>504825</xdr:colOff>
                    <xdr:row>36</xdr:row>
                    <xdr:rowOff>38100</xdr:rowOff>
                  </to>
                </anchor>
              </controlPr>
            </control>
          </mc:Choice>
        </mc:AlternateContent>
        <mc:AlternateContent xmlns:mc="http://schemas.openxmlformats.org/markup-compatibility/2006">
          <mc:Choice Requires="x14">
            <control shapeId="1083" r:id="rId19" name="Check Box 59">
              <controlPr defaultSize="0" autoFill="0" autoLine="0" autoPict="0">
                <anchor moveWithCells="1">
                  <from>
                    <xdr:col>2</xdr:col>
                    <xdr:colOff>190500</xdr:colOff>
                    <xdr:row>35</xdr:row>
                    <xdr:rowOff>104775</xdr:rowOff>
                  </from>
                  <to>
                    <xdr:col>2</xdr:col>
                    <xdr:colOff>504825</xdr:colOff>
                    <xdr:row>37</xdr:row>
                    <xdr:rowOff>28575</xdr:rowOff>
                  </to>
                </anchor>
              </controlPr>
            </control>
          </mc:Choice>
        </mc:AlternateContent>
        <mc:AlternateContent xmlns:mc="http://schemas.openxmlformats.org/markup-compatibility/2006">
          <mc:Choice Requires="x14">
            <control shapeId="1084" r:id="rId20" name="Check Box 60">
              <controlPr defaultSize="0" autoFill="0" autoLine="0" autoPict="0">
                <anchor moveWithCells="1">
                  <from>
                    <xdr:col>8</xdr:col>
                    <xdr:colOff>76200</xdr:colOff>
                    <xdr:row>34</xdr:row>
                    <xdr:rowOff>95250</xdr:rowOff>
                  </from>
                  <to>
                    <xdr:col>8</xdr:col>
                    <xdr:colOff>438150</xdr:colOff>
                    <xdr:row>36</xdr:row>
                    <xdr:rowOff>38100</xdr:rowOff>
                  </to>
                </anchor>
              </controlPr>
            </control>
          </mc:Choice>
        </mc:AlternateContent>
        <mc:AlternateContent xmlns:mc="http://schemas.openxmlformats.org/markup-compatibility/2006">
          <mc:Choice Requires="x14">
            <control shapeId="1085" r:id="rId21" name="Check Box 61">
              <controlPr defaultSize="0" autoFill="0" autoLine="0" autoPict="0">
                <anchor moveWithCells="1">
                  <from>
                    <xdr:col>8</xdr:col>
                    <xdr:colOff>76200</xdr:colOff>
                    <xdr:row>35</xdr:row>
                    <xdr:rowOff>104775</xdr:rowOff>
                  </from>
                  <to>
                    <xdr:col>8</xdr:col>
                    <xdr:colOff>438150</xdr:colOff>
                    <xdr:row>37</xdr:row>
                    <xdr:rowOff>47625</xdr:rowOff>
                  </to>
                </anchor>
              </controlPr>
            </control>
          </mc:Choice>
        </mc:AlternateContent>
        <mc:AlternateContent xmlns:mc="http://schemas.openxmlformats.org/markup-compatibility/2006">
          <mc:Choice Requires="x14">
            <control shapeId="1108" r:id="rId22" name="Button 84">
              <controlPr defaultSize="0" print="0" autoFill="0" autoPict="0" macro="[0]!Agregar_Fila_Anterior">
                <anchor moveWithCells="1" sizeWithCells="1">
                  <from>
                    <xdr:col>12</xdr:col>
                    <xdr:colOff>57150</xdr:colOff>
                    <xdr:row>125</xdr:row>
                    <xdr:rowOff>133350</xdr:rowOff>
                  </from>
                  <to>
                    <xdr:col>15</xdr:col>
                    <xdr:colOff>47625</xdr:colOff>
                    <xdr:row>126</xdr:row>
                    <xdr:rowOff>114300</xdr:rowOff>
                  </to>
                </anchor>
              </controlPr>
            </control>
          </mc:Choice>
        </mc:AlternateContent>
        <mc:AlternateContent xmlns:mc="http://schemas.openxmlformats.org/markup-compatibility/2006">
          <mc:Choice Requires="x14">
            <control shapeId="1109" r:id="rId23" name="Button 85">
              <controlPr defaultSize="0" print="0" autoFill="0" autoPict="0" macro="[0]!Borrar_Fila_Anterior">
                <anchor moveWithCells="1" sizeWithCells="1">
                  <from>
                    <xdr:col>15</xdr:col>
                    <xdr:colOff>95250</xdr:colOff>
                    <xdr:row>125</xdr:row>
                    <xdr:rowOff>133350</xdr:rowOff>
                  </from>
                  <to>
                    <xdr:col>18</xdr:col>
                    <xdr:colOff>85725</xdr:colOff>
                    <xdr:row>126</xdr:row>
                    <xdr:rowOff>114300</xdr:rowOff>
                  </to>
                </anchor>
              </controlPr>
            </control>
          </mc:Choice>
        </mc:AlternateContent>
        <mc:AlternateContent xmlns:mc="http://schemas.openxmlformats.org/markup-compatibility/2006">
          <mc:Choice Requires="x14">
            <control shapeId="1111" r:id="rId24" name="Option Button 87">
              <controlPr defaultSize="0" autoFill="0" autoLine="0" autoPict="0">
                <anchor moveWithCells="1">
                  <from>
                    <xdr:col>4</xdr:col>
                    <xdr:colOff>19050</xdr:colOff>
                    <xdr:row>144</xdr:row>
                    <xdr:rowOff>38100</xdr:rowOff>
                  </from>
                  <to>
                    <xdr:col>4</xdr:col>
                    <xdr:colOff>457200</xdr:colOff>
                    <xdr:row>144</xdr:row>
                    <xdr:rowOff>285750</xdr:rowOff>
                  </to>
                </anchor>
              </controlPr>
            </control>
          </mc:Choice>
        </mc:AlternateContent>
        <mc:AlternateContent xmlns:mc="http://schemas.openxmlformats.org/markup-compatibility/2006">
          <mc:Choice Requires="x14">
            <control shapeId="1112" r:id="rId25" name="Option Button 88">
              <controlPr defaultSize="0" autoFill="0" autoLine="0" autoPict="0">
                <anchor moveWithCells="1">
                  <from>
                    <xdr:col>6</xdr:col>
                    <xdr:colOff>276225</xdr:colOff>
                    <xdr:row>144</xdr:row>
                    <xdr:rowOff>28575</xdr:rowOff>
                  </from>
                  <to>
                    <xdr:col>6</xdr:col>
                    <xdr:colOff>771525</xdr:colOff>
                    <xdr:row>144</xdr:row>
                    <xdr:rowOff>276225</xdr:rowOff>
                  </to>
                </anchor>
              </controlPr>
            </control>
          </mc:Choice>
        </mc:AlternateContent>
        <mc:AlternateContent xmlns:mc="http://schemas.openxmlformats.org/markup-compatibility/2006">
          <mc:Choice Requires="x14">
            <control shapeId="1113" r:id="rId26" name="Option Button 89">
              <controlPr defaultSize="0" autoFill="0" autoLine="0" autoPict="0">
                <anchor moveWithCells="1">
                  <from>
                    <xdr:col>8</xdr:col>
                    <xdr:colOff>438150</xdr:colOff>
                    <xdr:row>143</xdr:row>
                    <xdr:rowOff>142875</xdr:rowOff>
                  </from>
                  <to>
                    <xdr:col>9</xdr:col>
                    <xdr:colOff>333375</xdr:colOff>
                    <xdr:row>144</xdr:row>
                    <xdr:rowOff>257175</xdr:rowOff>
                  </to>
                </anchor>
              </controlPr>
            </control>
          </mc:Choice>
        </mc:AlternateContent>
        <mc:AlternateContent xmlns:mc="http://schemas.openxmlformats.org/markup-compatibility/2006">
          <mc:Choice Requires="x14">
            <control shapeId="1145" r:id="rId27" name="Option Button 121">
              <controlPr defaultSize="0" autoFill="0" autoLine="0" autoPict="0">
                <anchor moveWithCells="1">
                  <from>
                    <xdr:col>1</xdr:col>
                    <xdr:colOff>590550</xdr:colOff>
                    <xdr:row>49</xdr:row>
                    <xdr:rowOff>57150</xdr:rowOff>
                  </from>
                  <to>
                    <xdr:col>2</xdr:col>
                    <xdr:colOff>285750</xdr:colOff>
                    <xdr:row>50</xdr:row>
                    <xdr:rowOff>19050</xdr:rowOff>
                  </to>
                </anchor>
              </controlPr>
            </control>
          </mc:Choice>
        </mc:AlternateContent>
        <mc:AlternateContent xmlns:mc="http://schemas.openxmlformats.org/markup-compatibility/2006">
          <mc:Choice Requires="x14">
            <control shapeId="1146" r:id="rId28" name="Group Box 122">
              <controlPr defaultSize="0" print="0" autoFill="0" autoPict="0">
                <anchor moveWithCells="1">
                  <from>
                    <xdr:col>1</xdr:col>
                    <xdr:colOff>66675</xdr:colOff>
                    <xdr:row>49</xdr:row>
                    <xdr:rowOff>38100</xdr:rowOff>
                  </from>
                  <to>
                    <xdr:col>4</xdr:col>
                    <xdr:colOff>476250</xdr:colOff>
                    <xdr:row>50</xdr:row>
                    <xdr:rowOff>228600</xdr:rowOff>
                  </to>
                </anchor>
              </controlPr>
            </control>
          </mc:Choice>
        </mc:AlternateContent>
        <mc:AlternateContent xmlns:mc="http://schemas.openxmlformats.org/markup-compatibility/2006">
          <mc:Choice Requires="x14">
            <control shapeId="1147" r:id="rId29" name="Option Button 123">
              <controlPr defaultSize="0" autoFill="0" autoLine="0" autoPict="0">
                <anchor moveWithCells="1">
                  <from>
                    <xdr:col>1</xdr:col>
                    <xdr:colOff>581025</xdr:colOff>
                    <xdr:row>50</xdr:row>
                    <xdr:rowOff>19050</xdr:rowOff>
                  </from>
                  <to>
                    <xdr:col>2</xdr:col>
                    <xdr:colOff>276225</xdr:colOff>
                    <xdr:row>50</xdr:row>
                    <xdr:rowOff>219075</xdr:rowOff>
                  </to>
                </anchor>
              </controlPr>
            </control>
          </mc:Choice>
        </mc:AlternateContent>
        <mc:AlternateContent xmlns:mc="http://schemas.openxmlformats.org/markup-compatibility/2006">
          <mc:Choice Requires="x14">
            <control shapeId="1148" r:id="rId30" name="Group Box 124">
              <controlPr defaultSize="0" print="0" autoFill="0" autoPict="0">
                <anchor moveWithCells="1">
                  <from>
                    <xdr:col>5</xdr:col>
                    <xdr:colOff>85725</xdr:colOff>
                    <xdr:row>49</xdr:row>
                    <xdr:rowOff>47625</xdr:rowOff>
                  </from>
                  <to>
                    <xdr:col>6</xdr:col>
                    <xdr:colOff>409575</xdr:colOff>
                    <xdr:row>50</xdr:row>
                    <xdr:rowOff>219075</xdr:rowOff>
                  </to>
                </anchor>
              </controlPr>
            </control>
          </mc:Choice>
        </mc:AlternateContent>
        <mc:AlternateContent xmlns:mc="http://schemas.openxmlformats.org/markup-compatibility/2006">
          <mc:Choice Requires="x14">
            <control shapeId="1149" r:id="rId31" name="Option Button 125">
              <controlPr defaultSize="0" autoFill="0" autoLine="0" autoPict="0">
                <anchor moveWithCells="1">
                  <from>
                    <xdr:col>6</xdr:col>
                    <xdr:colOff>76200</xdr:colOff>
                    <xdr:row>49</xdr:row>
                    <xdr:rowOff>57150</xdr:rowOff>
                  </from>
                  <to>
                    <xdr:col>6</xdr:col>
                    <xdr:colOff>390525</xdr:colOff>
                    <xdr:row>50</xdr:row>
                    <xdr:rowOff>9525</xdr:rowOff>
                  </to>
                </anchor>
              </controlPr>
            </control>
          </mc:Choice>
        </mc:AlternateContent>
        <mc:AlternateContent xmlns:mc="http://schemas.openxmlformats.org/markup-compatibility/2006">
          <mc:Choice Requires="x14">
            <control shapeId="1150" r:id="rId32" name="Group Box 126">
              <controlPr defaultSize="0" print="0" autoFill="0" autoPict="0">
                <anchor moveWithCells="1">
                  <from>
                    <xdr:col>7</xdr:col>
                    <xdr:colOff>66675</xdr:colOff>
                    <xdr:row>49</xdr:row>
                    <xdr:rowOff>47625</xdr:rowOff>
                  </from>
                  <to>
                    <xdr:col>8</xdr:col>
                    <xdr:colOff>400050</xdr:colOff>
                    <xdr:row>50</xdr:row>
                    <xdr:rowOff>219075</xdr:rowOff>
                  </to>
                </anchor>
              </controlPr>
            </control>
          </mc:Choice>
        </mc:AlternateContent>
        <mc:AlternateContent xmlns:mc="http://schemas.openxmlformats.org/markup-compatibility/2006">
          <mc:Choice Requires="x14">
            <control shapeId="1151" r:id="rId33" name="Option Button 127">
              <controlPr defaultSize="0" autoFill="0" autoLine="0" autoPict="0">
                <anchor moveWithCells="1">
                  <from>
                    <xdr:col>8</xdr:col>
                    <xdr:colOff>38100</xdr:colOff>
                    <xdr:row>49</xdr:row>
                    <xdr:rowOff>38100</xdr:rowOff>
                  </from>
                  <to>
                    <xdr:col>8</xdr:col>
                    <xdr:colOff>333375</xdr:colOff>
                    <xdr:row>50</xdr:row>
                    <xdr:rowOff>0</xdr:rowOff>
                  </to>
                </anchor>
              </controlPr>
            </control>
          </mc:Choice>
        </mc:AlternateContent>
        <mc:AlternateContent xmlns:mc="http://schemas.openxmlformats.org/markup-compatibility/2006">
          <mc:Choice Requires="x14">
            <control shapeId="1152" r:id="rId34" name="Option Button 128">
              <controlPr defaultSize="0" autoFill="0" autoLine="0" autoPict="0">
                <anchor moveWithCells="1">
                  <from>
                    <xdr:col>8</xdr:col>
                    <xdr:colOff>38100</xdr:colOff>
                    <xdr:row>49</xdr:row>
                    <xdr:rowOff>238125</xdr:rowOff>
                  </from>
                  <to>
                    <xdr:col>8</xdr:col>
                    <xdr:colOff>333375</xdr:colOff>
                    <xdr:row>50</xdr:row>
                    <xdr:rowOff>228600</xdr:rowOff>
                  </to>
                </anchor>
              </controlPr>
            </control>
          </mc:Choice>
        </mc:AlternateContent>
        <mc:AlternateContent xmlns:mc="http://schemas.openxmlformats.org/markup-compatibility/2006">
          <mc:Choice Requires="x14">
            <control shapeId="1153" r:id="rId35" name="Option Button 129">
              <controlPr defaultSize="0" autoFill="0" autoLine="0" autoPict="0">
                <anchor moveWithCells="1">
                  <from>
                    <xdr:col>6</xdr:col>
                    <xdr:colOff>76200</xdr:colOff>
                    <xdr:row>50</xdr:row>
                    <xdr:rowOff>0</xdr:rowOff>
                  </from>
                  <to>
                    <xdr:col>6</xdr:col>
                    <xdr:colOff>400050</xdr:colOff>
                    <xdr:row>50</xdr:row>
                    <xdr:rowOff>209550</xdr:rowOff>
                  </to>
                </anchor>
              </controlPr>
            </control>
          </mc:Choice>
        </mc:AlternateContent>
        <mc:AlternateContent xmlns:mc="http://schemas.openxmlformats.org/markup-compatibility/2006">
          <mc:Choice Requires="x14">
            <control shapeId="1154" r:id="rId36" name="Option Button 130">
              <controlPr defaultSize="0" autoFill="0" autoLine="0" autoPict="0">
                <anchor moveWithCells="1">
                  <from>
                    <xdr:col>3</xdr:col>
                    <xdr:colOff>400050</xdr:colOff>
                    <xdr:row>50</xdr:row>
                    <xdr:rowOff>19050</xdr:rowOff>
                  </from>
                  <to>
                    <xdr:col>4</xdr:col>
                    <xdr:colOff>85725</xdr:colOff>
                    <xdr:row>50</xdr:row>
                    <xdr:rowOff>228600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Formulario Inmueble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Inmueble</dc:title>
  <cp:keywords>()</cp:keywords>
  <cp:lastModifiedBy>JORGE SOLIS</cp:lastModifiedBy>
  <dcterms:created xsi:type="dcterms:W3CDTF">2022-09-08T20:25:36Z</dcterms:created>
  <dcterms:modified xsi:type="dcterms:W3CDTF">2023-01-06T04:01:32Z</dcterms:modified>
</cp:coreProperties>
</file>